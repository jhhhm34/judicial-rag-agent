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060" tabRatio="600" firstSheet="0" activeTab="1" autoFilterDateGrouping="1"/>
  </bookViews>
  <sheets>
    <sheet xmlns:r="http://schemas.openxmlformats.org/officeDocument/2006/relationships" name="六维评估题目" sheetId="1" state="visible" r:id="rId1"/>
    <sheet xmlns:r="http://schemas.openxmlformats.org/officeDocument/2006/relationships" name="评分标准" sheetId="2" state="visible" r:id="rId2"/>
    <sheet xmlns:r="http://schemas.openxmlformats.org/officeDocument/2006/relationships" name="消融实验汇总" sheetId="3" state="visible" r:id="rId3"/>
    <sheet xmlns:r="http://schemas.openxmlformats.org/officeDocument/2006/relationships" name="已有数据(A vs B)" sheetId="4" state="visible" r:id="rId4"/>
    <sheet xmlns:r="http://schemas.openxmlformats.org/officeDocument/2006/relationships" name="改进点-评估对应关系" sheetId="5" state="visible" r:id="rId5"/>
  </sheets>
  <definedNames/>
  <calcPr calcId="191029" fullCalcOnLoad="1"/>
</workbook>
</file>

<file path=xl/styles.xml><?xml version="1.0" encoding="utf-8"?>
<styleSheet xmlns="http://schemas.openxmlformats.org/spreadsheetml/2006/main">
  <numFmts count="0"/>
  <fonts count="28">
    <font>
      <name val="宋体"/>
      <charset val="134"/>
      <color theme="1"/>
      <sz val="11"/>
      <scheme val="minor"/>
    </font>
    <font>
      <name val="Arial"/>
      <charset val="134"/>
      <b val="1"/>
      <color rgb="FFFFFFFF"/>
      <sz val="11"/>
    </font>
    <font>
      <name val="Arial"/>
      <charset val="134"/>
      <sz val="10"/>
    </font>
    <font>
      <name val="Arial"/>
      <charset val="134"/>
      <b val="1"/>
      <sz val="11"/>
    </font>
    <font>
      <name val="Arial"/>
      <charset val="134"/>
      <b val="1"/>
      <color rgb="FFFF0000"/>
      <sz val="11"/>
    </font>
    <font>
      <name val="Arial"/>
      <charset val="134"/>
      <b val="1"/>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Arial"/>
      <sz val="10"/>
    </font>
    <font>
      <b val="1"/>
      <sz val="11"/>
    </font>
  </fonts>
  <fills count="40">
    <fill>
      <patternFill/>
    </fill>
    <fill>
      <patternFill patternType="gray125"/>
    </fill>
    <fill>
      <patternFill patternType="solid">
        <fgColor rgb="FF2E75B6"/>
        <bgColor indexed="64"/>
      </patternFill>
    </fill>
    <fill>
      <patternFill patternType="solid">
        <fgColor rgb="FFFFF2CC"/>
        <bgColor indexed="64"/>
      </patternFill>
    </fill>
    <fill>
      <patternFill patternType="solid">
        <fgColor rgb="FFD6E4F0"/>
        <bgColor indexed="64"/>
      </patternFill>
    </fill>
    <fill>
      <patternFill patternType="solid">
        <fgColor rgb="FFE2EFDA"/>
        <bgColor indexed="64"/>
      </patternFill>
    </fill>
    <fill>
      <patternFill patternType="solid">
        <fgColor rgb="FFFCE4D6"/>
        <bgColor indexed="64"/>
      </patternFill>
    </fill>
    <fill>
      <patternFill patternType="solid">
        <fgColor rgb="FFEDEDED"/>
        <bgColor indexed="64"/>
      </patternFill>
    </fill>
    <fill>
      <patternFill patternType="solid">
        <fgColor rgb="FFE8DAE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right style="thin"/>
      <top style="thin"/>
      <bottom style="thin"/>
    </border>
  </borders>
  <cellStyleXfs count="49">
    <xf numFmtId="0" fontId="6" fillId="0" borderId="0"/>
    <xf numFmtId="43" fontId="6" fillId="0" borderId="0" applyAlignment="1">
      <alignment vertical="center"/>
    </xf>
    <xf numFmtId="44" fontId="6" fillId="0" borderId="0" applyAlignment="1">
      <alignment vertical="center"/>
    </xf>
    <xf numFmtId="9" fontId="6" fillId="0" borderId="0" applyAlignment="1">
      <alignment vertical="center"/>
    </xf>
    <xf numFmtId="41" fontId="6" fillId="0" borderId="0" applyAlignment="1">
      <alignment vertical="center"/>
    </xf>
    <xf numFmtId="42" fontId="6" fillId="0" borderId="0" applyAlignment="1">
      <alignment vertical="center"/>
    </xf>
    <xf numFmtId="0" fontId="7" fillId="0" borderId="0" applyAlignment="1">
      <alignment vertical="center"/>
    </xf>
    <xf numFmtId="0" fontId="8" fillId="0" borderId="0" applyAlignment="1">
      <alignment vertical="center"/>
    </xf>
    <xf numFmtId="0" fontId="6" fillId="9" borderId="2"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3" applyAlignment="1">
      <alignment vertical="center"/>
    </xf>
    <xf numFmtId="0" fontId="13" fillId="0" borderId="3" applyAlignment="1">
      <alignment vertical="center"/>
    </xf>
    <xf numFmtId="0" fontId="14" fillId="0" borderId="4" applyAlignment="1">
      <alignment vertical="center"/>
    </xf>
    <xf numFmtId="0" fontId="14" fillId="0" borderId="0" applyAlignment="1">
      <alignment vertical="center"/>
    </xf>
    <xf numFmtId="0" fontId="15" fillId="10" borderId="5" applyAlignment="1">
      <alignment vertical="center"/>
    </xf>
    <xf numFmtId="0" fontId="16" fillId="11" borderId="6" applyAlignment="1">
      <alignment vertical="center"/>
    </xf>
    <xf numFmtId="0" fontId="17" fillId="11" borderId="5" applyAlignment="1">
      <alignment vertical="center"/>
    </xf>
    <xf numFmtId="0" fontId="18" fillId="12" borderId="7" applyAlignment="1">
      <alignment vertical="center"/>
    </xf>
    <xf numFmtId="0" fontId="19" fillId="0" borderId="8" applyAlignment="1">
      <alignment vertical="center"/>
    </xf>
    <xf numFmtId="0" fontId="20" fillId="0" borderId="9" applyAlignment="1">
      <alignment vertical="center"/>
    </xf>
    <xf numFmtId="0" fontId="21" fillId="13" borderId="0" applyAlignment="1">
      <alignment vertical="center"/>
    </xf>
    <xf numFmtId="0" fontId="22" fillId="14" borderId="0" applyAlignment="1">
      <alignment vertical="center"/>
    </xf>
    <xf numFmtId="0" fontId="23" fillId="15" borderId="0" applyAlignment="1">
      <alignment vertical="center"/>
    </xf>
    <xf numFmtId="0" fontId="24" fillId="16" borderId="0" applyAlignment="1">
      <alignment vertical="center"/>
    </xf>
    <xf numFmtId="0" fontId="25" fillId="17" borderId="0" applyAlignment="1">
      <alignment vertical="center"/>
    </xf>
    <xf numFmtId="0" fontId="25" fillId="18" borderId="0" applyAlignment="1">
      <alignment vertical="center"/>
    </xf>
    <xf numFmtId="0" fontId="24" fillId="19" borderId="0" applyAlignment="1">
      <alignment vertical="center"/>
    </xf>
    <xf numFmtId="0" fontId="24" fillId="20" borderId="0" applyAlignment="1">
      <alignment vertical="center"/>
    </xf>
    <xf numFmtId="0" fontId="25" fillId="21" borderId="0" applyAlignment="1">
      <alignment vertical="center"/>
    </xf>
    <xf numFmtId="0" fontId="25" fillId="22" borderId="0" applyAlignment="1">
      <alignment vertical="center"/>
    </xf>
    <xf numFmtId="0" fontId="24" fillId="23" borderId="0" applyAlignment="1">
      <alignment vertical="center"/>
    </xf>
    <xf numFmtId="0" fontId="24" fillId="24" borderId="0" applyAlignment="1">
      <alignment vertical="center"/>
    </xf>
    <xf numFmtId="0" fontId="25" fillId="25" borderId="0" applyAlignment="1">
      <alignment vertical="center"/>
    </xf>
    <xf numFmtId="0" fontId="25" fillId="26" borderId="0" applyAlignment="1">
      <alignment vertical="center"/>
    </xf>
    <xf numFmtId="0" fontId="24" fillId="27" borderId="0" applyAlignment="1">
      <alignment vertical="center"/>
    </xf>
    <xf numFmtId="0" fontId="24" fillId="28" borderId="0" applyAlignment="1">
      <alignment vertical="center"/>
    </xf>
    <xf numFmtId="0" fontId="25" fillId="29" borderId="0" applyAlignment="1">
      <alignment vertical="center"/>
    </xf>
    <xf numFmtId="0" fontId="25" fillId="30" borderId="0" applyAlignment="1">
      <alignment vertical="center"/>
    </xf>
    <xf numFmtId="0" fontId="24" fillId="31" borderId="0" applyAlignment="1">
      <alignment vertical="center"/>
    </xf>
    <xf numFmtId="0" fontId="24" fillId="32" borderId="0" applyAlignment="1">
      <alignment vertical="center"/>
    </xf>
    <xf numFmtId="0" fontId="25" fillId="33" borderId="0" applyAlignment="1">
      <alignment vertical="center"/>
    </xf>
    <xf numFmtId="0" fontId="25" fillId="34" borderId="0" applyAlignment="1">
      <alignment vertical="center"/>
    </xf>
    <xf numFmtId="0" fontId="24" fillId="35" borderId="0" applyAlignment="1">
      <alignment vertical="center"/>
    </xf>
    <xf numFmtId="0" fontId="24" fillId="36" borderId="0" applyAlignment="1">
      <alignment vertical="center"/>
    </xf>
    <xf numFmtId="0" fontId="25" fillId="37" borderId="0" applyAlignment="1">
      <alignment vertical="center"/>
    </xf>
    <xf numFmtId="0" fontId="25" fillId="38" borderId="0" applyAlignment="1">
      <alignment vertical="center"/>
    </xf>
    <xf numFmtId="0" fontId="24" fillId="39" borderId="0" applyAlignment="1">
      <alignment vertical="center"/>
    </xf>
  </cellStyleXfs>
  <cellXfs count="25">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1" fillId="2" borderId="1" pivotButton="0" quotePrefix="0" xfId="0"/>
    <xf numFmtId="0" fontId="3" fillId="0" borderId="0" pivotButton="0" quotePrefix="0" xfId="0"/>
    <xf numFmtId="0" fontId="2"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3" fillId="0" borderId="1" applyAlignment="1" pivotButton="0" quotePrefix="0" xfId="0">
      <alignment horizontal="center"/>
    </xf>
    <xf numFmtId="0" fontId="2" fillId="0" borderId="1" applyAlignment="1" pivotButton="0" quotePrefix="0" xfId="0">
      <alignment horizontal="center"/>
    </xf>
    <xf numFmtId="0" fontId="0" fillId="0" borderId="1" applyAlignment="1" pivotButton="0" quotePrefix="0" xfId="0">
      <alignment horizontal="center"/>
    </xf>
    <xf numFmtId="0" fontId="3" fillId="3" borderId="1" applyAlignment="1" pivotButton="0" quotePrefix="0" xfId="0">
      <alignment horizontal="center"/>
    </xf>
    <xf numFmtId="0" fontId="5" fillId="0" borderId="1" applyAlignment="1" pivotButton="0" quotePrefix="0" xfId="0">
      <alignment horizontal="center"/>
    </xf>
    <xf numFmtId="0" fontId="2" fillId="4" borderId="1" applyAlignment="1" pivotButton="0" quotePrefix="0" xfId="0">
      <alignment vertical="top" wrapText="1"/>
    </xf>
    <xf numFmtId="0" fontId="0" fillId="0"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3" borderId="1" applyAlignment="1" pivotButton="0" quotePrefix="0" xfId="0">
      <alignment vertical="top" wrapText="1"/>
    </xf>
    <xf numFmtId="0" fontId="2" fillId="8" borderId="1" applyAlignment="1" pivotButton="0" quotePrefix="0" xfId="0">
      <alignment vertical="top" wrapText="1"/>
    </xf>
    <xf numFmtId="0" fontId="26" fillId="0" borderId="10" applyAlignment="1" pivotButton="0" quotePrefix="0" xfId="0">
      <alignment vertical="top" wrapText="1"/>
    </xf>
    <xf numFmtId="0" fontId="26" fillId="0" borderId="10" applyAlignment="1" pivotButton="0" quotePrefix="0" xfId="0">
      <alignment horizontal="center"/>
    </xf>
    <xf numFmtId="0" fontId="0" fillId="0" borderId="10" applyAlignment="1" pivotButton="0" quotePrefix="0" xfId="0">
      <alignment horizontal="center"/>
    </xf>
    <xf numFmtId="0" fontId="2" fillId="0" borderId="10" applyAlignment="1" pivotButton="0" quotePrefix="0" xfId="0">
      <alignment horizontal="center"/>
    </xf>
    <xf numFmtId="0" fontId="27" fillId="0" borderId="1" applyAlignment="1" pivotButton="0" quotePrefix="0" xfId="0">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P51"/>
  <sheetViews>
    <sheetView zoomScale="85" zoomScaleNormal="85" workbookViewId="0">
      <selection activeCell="F1" sqref="F1:N1"/>
    </sheetView>
  </sheetViews>
  <sheetFormatPr baseColWidth="8" defaultColWidth="9" defaultRowHeight="14.4"/>
  <cols>
    <col width="5" customWidth="1" min="1" max="1"/>
    <col width="10" customWidth="1" min="2" max="2"/>
    <col width="45" customWidth="1" min="3" max="3"/>
    <col width="25" customWidth="1" min="4" max="4"/>
    <col width="18" customWidth="1" min="5" max="5"/>
    <col width="35" customWidth="1" min="6" max="6"/>
    <col width="5" customWidth="1" min="7" max="7"/>
    <col width="35" customWidth="1" min="8" max="8"/>
    <col width="5" customWidth="1" min="9" max="9"/>
    <col width="35" customWidth="1" min="10" max="10"/>
    <col width="5" customWidth="1" min="11" max="11"/>
    <col width="35" customWidth="1" min="12" max="12"/>
    <col width="5" customWidth="1" min="13" max="13"/>
    <col width="35" customWidth="1" min="14" max="14"/>
    <col width="5" customWidth="1" min="15" max="15"/>
    <col width="30" customWidth="1" min="16" max="16"/>
  </cols>
  <sheetData>
    <row r="1" ht="45" customHeight="1">
      <c r="A1" s="7" t="inlineStr">
        <is>
          <t>题号</t>
        </is>
      </c>
      <c r="B1" s="7" t="inlineStr">
        <is>
          <t>维度</t>
        </is>
      </c>
      <c r="C1" s="7" t="inlineStr">
        <is>
          <t>问题</t>
        </is>
      </c>
      <c r="D1" s="7" t="inlineStr">
        <is>
          <t>设计意图</t>
        </is>
      </c>
      <c r="E1" s="7" t="inlineStr">
        <is>
          <t>核心考察组件</t>
        </is>
      </c>
      <c r="F1" s="7" t="inlineStr">
        <is>
          <t>Baseline(A)
750字硬切+纯FAISS</t>
        </is>
      </c>
      <c r="G1" s="7" t="inlineStr">
        <is>
          <t>A得分</t>
        </is>
      </c>
      <c r="H1" s="7" t="inlineStr">
        <is>
          <t>+结构化切块(B)
段落级+纯FAISS</t>
        </is>
      </c>
      <c r="I1" s="7" t="inlineStr">
        <is>
          <t>B得分</t>
        </is>
      </c>
      <c r="J1" s="7" t="inlineStr">
        <is>
          <t>+混合检索(C)
BM25+FAISS+RRF</t>
        </is>
      </c>
      <c r="K1" s="7" t="inlineStr">
        <is>
          <t>C得分</t>
        </is>
      </c>
      <c r="L1" s="7" t="inlineStr">
        <is>
          <t>+Reranker(D)
+精排</t>
        </is>
      </c>
      <c r="M1" s="7" t="inlineStr">
        <is>
          <t>D得分</t>
        </is>
      </c>
      <c r="N1" s="7" t="inlineStr">
        <is>
          <t>+Agent(E)
LangGraph ReAct</t>
        </is>
      </c>
      <c r="O1" s="7" t="inlineStr">
        <is>
          <t>E得分</t>
        </is>
      </c>
      <c r="P1" s="7" t="inlineStr">
        <is>
          <t>说明</t>
        </is>
      </c>
    </row>
    <row r="2" ht="60" customHeight="1">
      <c r="A2" s="2" t="inlineStr">
        <is>
          <t>Q1</t>
        </is>
      </c>
      <c r="B2" s="13" t="inlineStr">
        <is>
          <t>精确检索</t>
        </is>
      </c>
      <c r="C2" s="2" t="inlineStr">
        <is>
          <t>有没有涉及盲人或视障人士金融服务权益的调解案例？</t>
        </is>
      </c>
      <c r="D2" s="2" t="inlineStr">
        <is>
          <t>测试明确存在的案例检索</t>
        </is>
      </c>
      <c r="E2" s="2" t="inlineStr">
        <is>
          <t>混合检索(BM25)</t>
        </is>
      </c>
      <c r="F2" s="14" t="n"/>
      <c r="G2" s="14" t="n"/>
      <c r="H2" s="14" t="n"/>
      <c r="I2" s="14" t="n"/>
      <c r="J2" s="14" t="n"/>
      <c r="K2" s="14" t="n"/>
      <c r="L2" s="20" t="inlineStr">
        <is>
          <t>根据已知信息，有涉及盲人或视障人士金融服务权益的调解案例，例如衡阳市侯某某与某银行金融纠纷调解案。该案例中，盲人客户侯某某因无法签字导致信用卡申请受阻，调解员促成银行采用录音录像身份核查、口述章程等方式，保障其金融服务权益。</t>
        </is>
      </c>
      <c r="M2" s="21" t="n">
        <v>5</v>
      </c>
      <c r="N2" s="20" t="inlineStr">
        <is>
          <t xml:space="preserve">
是的，我找到了一个涉及盲人金融服务权益的调解案例：
## 衡阳市侯某某与某银行金融纠纷调解案
### 案件背景
盲人侯某某在网上申请某银行信用卡初审通过后，前往银行营业部进行身份核查及手续确认。由于侯某某无法本人签字，无法按照一般信用卡申请流程办理，与银行产生纠纷，随后向衡阳市金融消费纠纷人民调解委员会申请调解。
### 调解过程
1. **第一次调解**：调解员将调解地点设在侯某某所在公司方便其参与。银行表示按现有流程无法受理无本人签字的信用卡申请，并担心盲人用卡存在安全风险。双方未能达成一致。
2. **第二次调解**：调解员邀请衡阳市残联肢残协会工作人员参与，指出银行应遵循平等原则，为特殊群体提供特殊服务，建议银行"特事特办"。
### 调解结果
双方达成协议：
- 银行采用录音录像方式进行身份核查
- 客户经理口述宣读信用卡使用章程和安全使用规程
- 侯某某承诺遵守用卡规则并按时还款
一周后回访确认，侯某某成功申领到信用卡，用卡情况正常。
### 法律依据
- 《商业银行法》第五条：平等、自愿、公平和诚实信用原则
- 《中国人民银行金融消费者权益保护实施办法》第十四条：不得对金融消费者实行歧视性差别对待
### 典型价值
该案例体现了金融机构应关注残障人士等弱势群体的金融需求，提供人性化服务，以及在遇到不公平待遇时可通过调解等途径维护自身权益的重要性。</t>
        </is>
      </c>
      <c r="O2" s="21" t="n">
        <v>5</v>
      </c>
      <c r="P2" s="14" t="n"/>
    </row>
    <row r="3" ht="60" customHeight="1">
      <c r="A3" s="2" t="inlineStr">
        <is>
          <t>Q2</t>
        </is>
      </c>
      <c r="B3" s="13" t="inlineStr">
        <is>
          <t>精确检索</t>
        </is>
      </c>
      <c r="C3" s="2" t="inlineStr">
        <is>
          <t>有没有农民工讨薪的法律援助典型案例？</t>
        </is>
      </c>
      <c r="D3" s="2" t="inlineStr">
        <is>
          <t>测试高频案例类型检索</t>
        </is>
      </c>
      <c r="E3" s="2" t="inlineStr">
        <is>
          <t>混合检索(BM25)</t>
        </is>
      </c>
      <c r="F3" s="14" t="n"/>
      <c r="G3" s="14" t="n"/>
      <c r="H3" s="14" t="n"/>
      <c r="I3" s="14" t="n"/>
      <c r="J3" s="14" t="n"/>
      <c r="K3" s="14" t="n"/>
      <c r="L3" s="20" t="inlineStr">
        <is>
          <t>根据已知信息，有农民工讨薪的法律援助典型案例。例如：
- 山东省日照市莒县法律援助中心对刘某等农民工讨薪法律援助案
- 江苏省灌南县法律援助中心对101名农民工追索劳动报酬提供法律援助案
- 四川省内江市市中区法律援助中心对陈某某等69名农民工追索劳动报酬提供法律援助案
- 浙江省台州市天台县法律援助中心对巴某等31人追索劳动报酬纠纷案提供法律援助案</t>
        </is>
      </c>
      <c r="M3" s="21" t="n">
        <v>5</v>
      </c>
      <c r="N3" s="20" t="inlineStr">
        <is>
          <t xml:space="preserve">
根据检索结果，我为您找到了几个典型的农民工讨薪法律援助案例，这些案例具有很好的代表性：
## 主要典型案例
### 1. 山东省日照市莒县刘某等农民工讨薪案
**案件特点：**
- 拖欠工资长达4年，总额14.5万元
- 10余名农民工在多地从事建设工程工作
- 农民工法律知识匮乏，多次索要未果
**法律援助亮点：**
- 采取"诉调结合"方式，快速达成调解协议
- 公司同意分期支付拖欠工资及利息
- 有效解决了农民工的燃眉之急
### 2. 江苏省灌南县101名农民工集体讨薪案
**案件特点：**
- 涉及101名农民工的集体讨薪
- 存在老板失联、工资与债权交织问题
- 涉案人数和工资额较大
**法律援助亮点：**
- 及时介入疏导工人情绪，引导依法维权
- 快速收集证据，做好诉讼准备
- 通过仲裁庭调解快速结案，避免群体性事件
### 3. 四川省内江市陈某某等69名农民工讨薪案
**案件特点：**
- 涉及69名农民工，拖欠工资26.3万元
- 建筑领域"包工头"转包导致的工资拖欠
- 包工头被判刑但无支付能力
**法律援助亮点：**
- 适用《保障农民工工资支付条例》第三十条第四款
- 确定施工总承包单位为清偿责任主体
- 通过"总包代发"原则成功追回欠薪
## 法律援助的典型价值
### 1. **维权成本低**
- 农民工申请法律援助免予审查经济困难条件
- 提供免费法律服务，降低维权成本
### 2. **维权效率高**
- 优先受理、优先指派原则
- 诉调结合、仲裁调解等方式快速解决
### 3. **责任主体明确**
- 适用《保障农民工工资支付条例》
- 明确施工总承包单位的清偿责任
### 4. **社会效果显著**
- 维护农民工合法权益
- 预防和化解群体性事件
- 促进社会和谐稳定
这些案例充分体现了法律援助在维护农</t>
        </is>
      </c>
      <c r="O3" s="21" t="n">
        <v>5</v>
      </c>
      <c r="P3" s="14" t="n"/>
    </row>
    <row r="4" ht="60" customHeight="1">
      <c r="A4" s="2" t="inlineStr">
        <is>
          <t>Q3</t>
        </is>
      </c>
      <c r="B4" s="13" t="inlineStr">
        <is>
          <t>精确检索</t>
        </is>
      </c>
      <c r="C4" s="2" t="inlineStr">
        <is>
          <t>有没有涉及工伤赔偿的仲裁典型案例？</t>
        </is>
      </c>
      <c r="D4" s="2" t="inlineStr">
        <is>
          <t>测试案件类型+处理方式组合检索</t>
        </is>
      </c>
      <c r="E4" s="2" t="inlineStr">
        <is>
          <t>混合检索(BM25)</t>
        </is>
      </c>
      <c r="F4" s="14" t="n"/>
      <c r="G4" s="14" t="n"/>
      <c r="H4" s="14" t="n"/>
      <c r="I4" s="14" t="n"/>
      <c r="J4" s="14" t="n"/>
      <c r="K4" s="14" t="n"/>
      <c r="L4" s="20" t="inlineStr">
        <is>
          <t>根据已知信息，有涉及工伤赔偿的仲裁典型案例。例如，宁夏回族自治区银川市西夏区法律援助中心对王某工伤待遇赔偿提供法律援助案，该案通过劳动仲裁程序解决了工伤赔偿纠纷，仲裁委裁决用人单位支付工伤赔偿款。</t>
        </is>
      </c>
      <c r="M4" s="21" t="n">
        <v>4</v>
      </c>
      <c r="N4" s="20" t="inlineStr">
        <is>
          <t xml:space="preserve">
根据检索结果，我找到了几个涉及工伤赔偿的典型案例，其中最典型的是通过仲裁程序解决的工伤赔偿案件。以下是主要案例的详细介绍：
## 📋 典型案例一：王某工伤待遇赔偿仲裁案
### 案件基本情况
- **当事人**：王某（劳动者）与大连某公司银川分公司（用人单位）
- **工伤情况**：2018年11月11日因交通事故导致七级工伤，无护理依赖，停工留薪期6个月
- **争议焦点**：公司签订显失公平的《工伤赔偿协议》，实际支付赔偿远低于法定标准
### 仲裁过程
1. **协议问题**：公司以5.6万元"含所有工伤赔偿项目"与王某签订协议，但实际仅支付4.2万元，且协议中擅自约定解除劳动关系
2. **法律援助**：王某申请法律援助，律师发现协议存在重大误解和显失公平
3. **法院撤销协议**：经法院审理，依法撤销了显失公平的《工伤赔偿协议》
4. **仲裁裁决**：西夏区劳动仲裁委员会裁决用人单位再支付12.6万余元赔偿款，合计16.8万元
### 裁判要旨
- 工伤赔偿协议必须遵循公平原则，不得显失公平
- 劳动者对协议内容存在重大误解的，有权请求撤销
- 仲裁委按法定标准计算工伤赔偿金额
## 📋 其他相关案例
### 案例二：胡某工伤赔偿调解案
- **特点**：通过人民调解方式解决工伤赔偿纠纷
- **焦点**：赔偿金额的合理确定
- **处理方式**：调解员参照工伤认定书、劳动能力鉴定结论书，依据《工伤保险条例》进行调解
### 案例三：江某工伤保险待遇行政诉讼案
- **特点**：涉及用人单位未缴纳工伤保险费的情况
- **争议点**：工伤保险基金先行支付问题
- **法律依据**：《社会保险法》第四十一条、《社会保险基金先行支付暂行办法》
### 案例四：范某某职业病工伤法律援助案
- **特点**：职业病引起的工伤纠纷
- **处理方式**</t>
        </is>
      </c>
      <c r="O4" s="21" t="n">
        <v>5</v>
      </c>
      <c r="P4" s="14" t="n"/>
    </row>
    <row r="5" ht="60" customHeight="1">
      <c r="A5" s="2" t="inlineStr">
        <is>
          <t>Q4</t>
        </is>
      </c>
      <c r="B5" s="13" t="inlineStr">
        <is>
          <t>精确检索</t>
        </is>
      </c>
      <c r="C5" s="2" t="inlineStr">
        <is>
          <t>有没有涉及未成年人犯罪辩护的法律援助案例？</t>
        </is>
      </c>
      <c r="D5" s="2" t="inlineStr">
        <is>
          <t>测试特定群体+案件类型检索</t>
        </is>
      </c>
      <c r="E5" s="2" t="inlineStr">
        <is>
          <t>混合检索(BM25)</t>
        </is>
      </c>
      <c r="F5" s="14" t="n"/>
      <c r="G5" s="14" t="n"/>
      <c r="H5" s="14" t="n"/>
      <c r="I5" s="14" t="n"/>
      <c r="J5" s="14" t="n"/>
      <c r="K5" s="14" t="n"/>
      <c r="L5" s="20" t="inlineStr">
        <is>
          <t>根据已知信息，有涉及未成年人犯罪辩护的法律援助案例。具体为：吉林省吉林市丰满区法律援助中心为未成年人张某某等5人涉嫌盗窃罪提供法律援助案。该案例中，法律援助中心指派律师为5名未成年人提供辩护，涉及盗窃罪的法律援助服务。</t>
        </is>
      </c>
      <c r="M5" s="21" t="n">
        <v>4</v>
      </c>
      <c r="N5" s="20" t="inlineStr">
        <is>
          <t xml:space="preserve">
根据检索结果，我找到了多个涉及未成年人犯罪辩护的法律援助案例。以下是主要案例的详细分析：
## 主要案例概述
### 1. 吉林省吉林市丰满区法律援助中心为未成年人张某某等5人涉嫌盗窃罪提供法律援助案
**案件概要：**
- 2020年10月，吉林市某职业学校5名未成年人学生在校内超市多次实施盗窃
- 9天内共作案9次，盗得各类物品价值合计人民币892.86元
- 涉案人员：张某某、薛某某、牛某某、马某某、王某某（均为未成年人）
**法律援助过程：**
- 吉林市丰满区法律援助中心指派5名专业律师为5名未成年人犯罪嫌疑人提供辩护
- 指派的律师均为熟悉未成年人身心特点且办案经验丰富的律师
- 辩护律师调取卷宗及会见犯罪嫌疑人，全面了解案情
**典型价值：**
- 展示了法律援助机构在处理多名未成年人犯罪案件时的组织协调能力
- 体现了对未成年人犯罪案件的特殊关注和专业服务模式
- 丰满区法律援助中心2020年共为18名未成年人提供法律援助，涵盖抚养费纠纷、人身损害赔偿及刑事辩护等多领域
### 2. 山东省济宁市梁山县法律援助中心对未成年人马某健康权纠纷法律援助案
**案件概要：**
- 驟某为实验小学学生，在放学下台阶时因拥堵摔倒导致牙齿损坏
- 学校以马某自身过错为由拒绝赔偿
- 马某家庭贫困，符合法律援助条件
**法律援助成果：**
- 承办律师通过调解和诉讼相结合的方式，最终达成调解协议
- 保险公司同意一次性支付8500元作为赔偿
- 有效维护了未成年人的合法权益
### 3. 辽宁省盘锦市兴隆台区法律援助中心对未成年人常某某交通事故提供法律援助案
**案件特点：**
- 涉及未成年学生因交通事故身心受到巨大伤害
- 法律援助机构秉承以人为本、依法为民的理念
- 强调对未成年人健康成长的社会关爱
## 法律援助工作的共同特点
1. **专</t>
        </is>
      </c>
      <c r="O5" s="21" t="n">
        <v>5</v>
      </c>
      <c r="P5" s="14" t="n"/>
    </row>
    <row r="6" ht="60" customHeight="1">
      <c r="A6" s="2" t="inlineStr">
        <is>
          <t>Q5</t>
        </is>
      </c>
      <c r="B6" s="13" t="inlineStr">
        <is>
          <t>精确检索</t>
        </is>
      </c>
      <c r="C6" s="2" t="inlineStr">
        <is>
          <t>有没有房屋买卖合同纠纷中关于面积缩水的典型案例？</t>
        </is>
      </c>
      <c r="D6" s="2" t="inlineStr">
        <is>
          <t>测试专业术语检索</t>
        </is>
      </c>
      <c r="E6" s="2" t="inlineStr">
        <is>
          <t>混合检索(BM25)</t>
        </is>
      </c>
      <c r="F6" s="14" t="n"/>
      <c r="G6" s="14" t="n"/>
      <c r="H6" s="14" t="n"/>
      <c r="I6" s="14" t="n"/>
      <c r="J6" s="14" t="n"/>
      <c r="K6" s="14" t="n"/>
      <c r="L6" s="20" t="inlineStr">
        <is>
          <t>根据已知信息，有关于房屋买卖合同纠纷中面积缩水的典型案例。具体如下：
在“申请人对被申请人就商品房买卖合同纠纷提起仲裁案”（国内仲裁案例，案件情况）中，申请人李某某与被申请人某房地产公司签订《商品房买卖合同》，约定房屋建筑面积为248.99平方米。但物业收费凭据显示，实际面积为228.54平方米，面积减少20.45平方米。申请人据此要求被申请人返还多收取的房屋价款202,209元及利息，并支付面积减少超出3%部分的双倍房价款12万元。被申请人则主张房管部门测量报告未显示单个面积，且合同未约定利息或双倍返还条款。该案例涉及面积缩水的争议焦点，是典型的房屋买卖合同纠纷案例。</t>
        </is>
      </c>
      <c r="M6" s="21" t="n">
        <v>5</v>
      </c>
      <c r="N6" s="20" t="inlineStr">
        <is>
          <t xml:space="preserve">
根据检索结果，我为您找到了几个房屋买卖合同纠纷中关于面积缩水的典型案例。以下是主要案例的分析：
## 主要典型案例
### 案例一：李某某诉某房地产公司面积缩水案
**案件概要：**
- 合同约定面积：248.99平方米
- 实际登记面积：228.54平方米  
- 面积缩水：20.45平方米
- 争议焦点：面积差异处理、违约责任
**关键问题：**
1. 面积差异超过3%是否适用双倍返还
2. 利息支付是否有合同依据
3. 办理产权登记的违约责任
### 案例二：宣传资料"赠送面积"纠纷案
**案件概要：**
- 合同约定面积：88.33平方米
- 实际登记面积：88.79平方米（略有增加）
- 宣传资料承诺："赠送面积约8㎡"
- 争议焦点：宣传资料的法律效力
**裁判要旨：**
- 宣传资料中"赠送面积"的说明不构成合同组成部分
- 双方应以书面合同作为唯一约束文件
- 开发商不承担"赠送面积"的违约责任
### 案例三：涉外仲裁案例中的面积缩水处理
**案件特点：**
- 明确约定面积差异处理机制
- 3%以内按实际面积多退少补
- 超过3%部分双倍返还
- 强调合同条款的优先效力
## 面积缩水纠纷的典型特征
### 1. **法律适用问题**
- 面积差异处理通常依据合同约定
- 超过3%的差异可能适用双倍返还
- 需要区分实际面积缩水和宣传承诺未兑现
### 2. **证据认定**
- 产权登记面积是重要依据
- 物业收费凭据可作为辅助证据
- 宣传资料的法律效力需要严格认定
### 3. **责任承担**
- 开发商通常承担面积差异的退款责任
- 宣传资料中的承诺需满足特定条件才构成要约
- 合同条款对宣传资料有明确排除约定的，宣传资料不具约束力
## 典型价值总结
这些案例为房屋买卖合同纠纷中的面积缩水问题提供了重要参考：
1.</t>
        </is>
      </c>
      <c r="O6" s="21" t="n">
        <v>5</v>
      </c>
      <c r="P6" s="14" t="n"/>
    </row>
    <row r="7" ht="60" customHeight="1">
      <c r="A7" s="2" t="inlineStr">
        <is>
          <t>Q6</t>
        </is>
      </c>
      <c r="B7" s="13" t="inlineStr">
        <is>
          <t>精确检索</t>
        </is>
      </c>
      <c r="C7" s="2" t="inlineStr">
        <is>
          <t>有没有涉及《保障农民工工资支付条例》的法律援助案例？</t>
        </is>
      </c>
      <c r="D7" s="2" t="inlineStr">
        <is>
          <t>测试法条名称精确匹配，BM25应优于纯FAISS</t>
        </is>
      </c>
      <c r="E7" s="2" t="inlineStr">
        <is>
          <t>混合检索(BM25)</t>
        </is>
      </c>
      <c r="F7" s="14" t="n"/>
      <c r="G7" s="14" t="n"/>
      <c r="H7" s="14" t="n"/>
      <c r="I7" s="14" t="n"/>
      <c r="J7" s="14" t="n"/>
      <c r="K7" s="14" t="n"/>
      <c r="L7" s="20" t="inlineStr">
        <is>
          <t>根据已知信息，有涉及《保障农民工工资支付条例》的法律援助案例。具体如下：
- **四川省内江市市中区法律援助中心对陈某某等69名农民工追索劳动报酬提供法律援助案**：该案例明确引用了《保障农民工工资支付条例》第三十条第四款，规定工程建设项目转包拖欠农民工工资的，由施工总承包单位先行清偿，并以此作为法律援助的依据。
- **山东省日照市莒县法律援助中心对刘某等农民工讨薪法律援助案**：该案例中，承办律师向农民工和用人单位讲解了《保障农民工工资支付条例》，告知拖欠工资的法律后果，并以此推动调解解决纠纷。
其他案例（如浙江省台州市天台县法律援助中心对巴某等31人追索劳动报酬纠纷案）未涉及该条例。</t>
        </is>
      </c>
      <c r="M7" s="21" t="n">
        <v>5</v>
      </c>
      <c r="N7" s="20" t="inlineStr">
        <is>
          <t xml:space="preserve">
是的，确实存在涉及《保障农民工工资支付条例》的法律援助案例。通过检索，我发现了多个相关案例，以下是主要案例的总结：
## 主要案例概览
### 1. 四川省内江市市中区法律援助中心对陈某某等69名农民工追索劳动报酬案
- **案件特点**：涉及69名农民工，人数众多、跨度时间长、标的额较大
- **法律依据**：直接适用《保障农民工工资支付条例》第三十条第四款
- **核心内容**：工程建设项目转包拖欠农民工工资的，由施工总承包单位先行清偿，再依法进行追偿
- **解决方式**：通过法律援助要求施工总承包单位承担清偿责任，最终成功追回欠薪
### 2. 安徽省池州市法律援助中心对吴某等36名农民工劳务合同案
- **案件特点**：涉及36名农民工，拖欠工资66万余元
- **法律援助过程**：从证据收集、诉讼到二审全程提供法律援助
- **结果**：法院判决确认劳务关系，公司支付工资664043元
### 3. 浙江省台州市天台县法律援助中心对巴某等31人追索劳动报酬案
- **创新做法**：采用"全程代理制"，实现"零跑动"维权
- **效率**：从受理到结案仅用3天时间
- **特色**：针对疫情期间异地农民工的特殊情况，通过远程方式完成法律援助
### 4. 山东省日照市莒县法律援助中心对刘某等农民工讨薪案
- **案件特点**：拖欠工资长达四年，拖欠总额14万余元
- **解决方式**：采取诉调结合的办法，达成分期支付协议
## 法律援助案例的共同特点
1. **群体性特征**：多数案件涉及多名农民工，体现群体性欠薪问题
2. **法律援助优先**：对农民工讨薪案件实行"优先受理、优先指派"
3. **免予经济审查**：农民工追索劳动报酬申请法律援助通常免予经济状况审查
4. **创新服务模式**：如"全程代理制"、"零跑动"维权等创新服务方式
#</t>
        </is>
      </c>
      <c r="O7" s="21" t="n">
        <v>5</v>
      </c>
      <c r="P7" s="14" t="n"/>
    </row>
    <row r="8" ht="60" customHeight="1">
      <c r="A8" s="2" t="inlineStr">
        <is>
          <t>Q7</t>
        </is>
      </c>
      <c r="B8" s="13" t="inlineStr">
        <is>
          <t>精确检索</t>
        </is>
      </c>
      <c r="C8" s="2" t="inlineStr">
        <is>
          <t>知识库中有没有湖南省岳阳市的工伤保险待遇纠纷案例？</t>
        </is>
      </c>
      <c r="D8" s="2" t="inlineStr">
        <is>
          <t>测试'地区+案件类型'组合精确检索</t>
        </is>
      </c>
      <c r="E8" s="2" t="inlineStr">
        <is>
          <t>混合检索(BM25)</t>
        </is>
      </c>
      <c r="F8" s="14" t="n"/>
      <c r="G8" s="14" t="n"/>
      <c r="H8" s="14" t="n"/>
      <c r="I8" s="14" t="n"/>
      <c r="J8" s="14" t="n"/>
      <c r="K8" s="14" t="n"/>
      <c r="L8" s="20" t="inlineStr">
        <is>
          <t>是的，知识库中有湖南省岳阳市的工伤保险待遇纠纷案例。具体案例为：湖南省岳阳市法律援助中心对江某某工伤保险待遇纠纷提供法律援助案。</t>
        </is>
      </c>
      <c r="M8" s="21" t="n">
        <v>4</v>
      </c>
      <c r="N8" s="20" t="inlineStr">
        <is>
          <t xml:space="preserve">
是的，知识库中有湖南省岳阳市的工伤保险待遇纠纷案例。我找到了两个主要的案例：
## 案例1：湖南省岳阳市法律援助中心对江某某工伤保险待遇纠纷提供法律援助案
**案件基本情况：**
- 江某清在广州某建设公司项目部从事建筑工作时因防护模板断裂从6米高处摔伤，被认定为工伤
- 岳阳市人社局认定其为工伤，劳动能力鉴定为陆级伤残
- 建筑公司拒绝为其申报工伤保险待遇和赔偿
- 江某清通过岳阳市法律援助中心获得法律援助
- 最终通过仲裁调解，公司支付173600元，并为其申请工伤保险待遇
**案件特点：**
- 典型的农民工维权案件
- 涉及未签订劳动合同的弱势群体
- 法律援助开通"绿色通道"和"优先通道"
- 通过调解方式解决，避免诉累
## 案例2：律师代理工伤受害人江某诉某医疗保险基金管理中心先予支付工伤保险待遇行政诉讼案
**案件基本情况：**
- 江某在商贸公司工作时发生交通事故被认定为工伤
- 用人单位未参加工伤保险，导致无法从工伤保险基金获得待遇
- 通过仲裁获得赔偿但无法执行
- 向医疗保险基金管理中心申请先行支付工伤保险待遇
- 通过行政诉讼一审、二审，最终获得先行支付
**案件特点：**
- 涉及工伤保险基金先行支付制度
- 用人单位未参保情况下的法律救济
- 通过行政诉讼维护工伤职工权益
这两个案例都体现了岳阳市在处理工伤保险待遇纠纷方面的法律实践，包括法律援助、调解和行政诉讼等多种解决途径。</t>
        </is>
      </c>
      <c r="O8" s="21" t="n">
        <v>5</v>
      </c>
      <c r="P8" s="14" t="n"/>
    </row>
    <row r="9" ht="60" customHeight="1">
      <c r="A9" s="2" t="inlineStr">
        <is>
          <t>Q8</t>
        </is>
      </c>
      <c r="B9" s="13" t="inlineStr">
        <is>
          <t>精确检索</t>
        </is>
      </c>
      <c r="C9" s="2" t="inlineStr">
        <is>
          <t>有没有涉及司法确认程序的人民调解案例？</t>
        </is>
      </c>
      <c r="D9" s="2" t="inlineStr">
        <is>
          <t>测试法律专业术语精确匹配</t>
        </is>
      </c>
      <c r="E9" s="2" t="inlineStr">
        <is>
          <t>混合检索(BM25)</t>
        </is>
      </c>
      <c r="F9" s="14" t="n"/>
      <c r="G9" s="14" t="n"/>
      <c r="H9" s="14" t="n"/>
      <c r="I9" s="14" t="n"/>
      <c r="J9" s="14" t="n"/>
      <c r="K9" s="14" t="n"/>
      <c r="L9" s="20" t="inlineStr">
        <is>
          <t>是的，根据已知信息，有涉及司法确认程序的人民调解案例。例如：
- 北京市房山区某医院与岳某等人合同纠纷调解案：通过“一站式”司法确认机制，法院出具司法确认文书，司法确认率达100%。
- 兴国县王某与李组村民、张组村民环境污染纠纷调解案：调解员引导和协助当事人对调解协议进行司法确认。
- 佛山市南海区李某某家属与某公司劳动争议纠纷调解案：调解员向法院申请司法确认，赋予调解协议强制执行效力。</t>
        </is>
      </c>
      <c r="M9" s="21" t="n">
        <v>5</v>
      </c>
      <c r="N9" s="20" t="inlineStr">
        <is>
          <t xml:space="preserve">
根据检索结果，我找到了多个涉及司法确认程序的人民调解案例。以下是这些案例的详细分析：
## 涉及司法确认程序的人民调解案例
### 1. **北京市房山区某医院与岳某等人合同纠纷调解案**
- **案件特点**：重大群体性复杂纠纷，涉及合同纠纷、民间借贷纠纷、三方债务转移纠纷、股权转让纠纷等多种类型
- **司法确认情况**：调解成功率和司法确认率均达100%
- **具体成果**：涉及160余人，涉案金额1.8亿元，通过"一站式"司法确认机制快速固化调解结果，为当事人节省近千万元诉讼费
### 2. **兴国县王某与李组村民、张组村民环境污染纠纷调解案**
- **案件特点**：农村环境污染纠纷，涉及人情世故和亲情关系
- **司法确认应用**：当双方对协议履行存疑时，调解员积极宣传"人民调解+司法确认"模式，引导当事人进行司法确认
- **效果**：既快速便捷节省了诉讼成本，也节约了司法资源，促成纠纷圆满解决
### 3. **上海市徐汇区沈某与某速运公司合同纠纷调解案**
- **案件特点**：简单的合同纠纷
- **司法确认程序**：双方签订调解协议后，共同向法院申请司法确认
- **结果**：获得具有法律效力的调解文书，双方均表示满意
### 4. **佛山市南海区李某某家属与某公司劳动争议纠纷调解案**
- **案件特点**：劳动争议纠纷，涉及死亡赔偿
- **司法确认目的**：赋予调解协议强制执行效力
- **协议内容**：企业方一次性支付死者家属各项赔偿共计110万元
## 司法确认程序的主要特点和价值
### **程序优势**
1. **高效便捷**：快速固化调解结果，节省时间和诉讼成本
2. **法律效力**：经司法确认的调解协议具有强制执行力
3. **成本节约**：为当事人节省大量诉讼费用
4. **资源优化**：节约司法资源，减轻法</t>
        </is>
      </c>
      <c r="O9" s="21" t="n">
        <v>5</v>
      </c>
      <c r="P9" s="14" t="n"/>
    </row>
    <row r="10" ht="60" customHeight="1">
      <c r="A10" s="2" t="inlineStr">
        <is>
          <t>Q9</t>
        </is>
      </c>
      <c r="B10" s="15" t="inlineStr">
        <is>
          <t>语义理解</t>
        </is>
      </c>
      <c r="C10" s="2" t="inlineStr">
        <is>
          <t>老人和子女之间因为钱产生纠纷，有什么典型案例？</t>
        </is>
      </c>
      <c r="D10" s="2" t="inlineStr">
        <is>
          <t>口语化→赡养费纠纷</t>
        </is>
      </c>
      <c r="E10" s="2" t="inlineStr">
        <is>
          <t>结构化切块+向量检索</t>
        </is>
      </c>
      <c r="F10" s="14" t="n"/>
      <c r="G10" s="14" t="n"/>
      <c r="H10" s="14" t="n"/>
      <c r="I10" s="14" t="n"/>
      <c r="J10" s="14" t="n"/>
      <c r="K10" s="14" t="n"/>
      <c r="L10" s="20" t="inlineStr">
        <is>
          <t>根据已知信息，以下案例涉及老人和子女之间因金钱产生的纠纷：
1. **顺平县石甲与石乙婚姻家庭纠纷调解案**（处理过程）：儿子儿媳要求老人每月拿出一部分钱才同意赡养，导致老人因无经济来源无法满足要求而引发纠纷。  
2. **无极县张某某与子女婚姻家庭纠纷调解案**（处理过程）：涉及赡养费用补偿，如老四要求老五按三年零四个月每年支付5000元补偿，因老人无法做家务而引发金钱争议。  
3. **律师代理刘某甲诉继母刘某、同父异母妹妹温某、刘某甲父亲继子刘某乙继承纠纷一审案**（典型价值）：涉及继承权纠纷，本质上是财产纠纷，因继子未履行赡养义务而影响遗产继承。  
4. **再婚老人的遗愿**（案件情况）：涉及财产继承纠纷，老人担心子女与继母争产，通过遗嘱公证预防金钱冲突。</t>
        </is>
      </c>
      <c r="M10" s="21" t="n">
        <v>5</v>
      </c>
      <c r="N10" s="20" t="inlineStr">
        <is>
          <t xml:space="preserve">
根据检索到的典型案例，我为您整理了老人和子女之间因钱产生纠纷的几个典型案例：
## 典型案例一：无极县张某某与子女婚姻家庭纠纷调解案
**案件背景：**
- 老人张某某有五个子女（两个女儿、三个儿子）
- 最小的儿子老五因2008年二女儿与老五媳妇发生冲突，拒绝履行赡养义务
- 老五夫妇长期对家庭不满，多次闹事甚至持刀伤害老三
**纠纷焦点：**
- 老五以家庭矛盾为由，拒绝赡养老人，声称"活不养、死不葬"
- 老人无法在自己的房子居住，拿不到老五的赡养费
- 家庭矛盾持续十年，兄弟成仇
**处理结果：**
- 调解员对老五进行法律教育，指出成年子女有赡养扶助父母的法定义务
- 通过情感调解，最终促成兄弟和解，老五同意履行赡养义务
## 典型案例二：顺平县石甲与石乙婚姻家庭纠纷调解案
**案件背景：**
- 石甲年轻时对家庭不负责任，经常喝酒打骂妻子，不照顾儿子
- 家庭开支主要靠妻子支撑，石甲对儿子石乙不管不问
- 石甲妻子去世后，石甲年事高，丧失劳动能力且无经济来源
**纠纷焦点：**
- 石甲要求与儿子儿媳共同居住，但儿子儿媳要求老人每月拿出一部分钱才同意
- 石乙认为父亲未尽到抚养义务，拒绝赡养
**处理结果：**
- 调解员对石乙进行法律释明，指出子女赡养义务不因父母过去的行为而免除
- 最终达成妥协：石乙同意出钱将父亲送到养老院，定期看望
## 典型案例三：马鞍山市雨山区张某与某超市损害赔偿纠纷调解案
**案件背景：**
- 90岁老人张某在超市门口楼梯处摔倒受伤
- 超市认为老人独自出门有风险，子女未尽监护义务
- 老人及家属认为超市地面湿滑，未尽安全保障义务
**纠纷焦点：**
- 赔偿责任的分担问题
- 超市是否应承担安全保障义务
**处理结果：**
- 调解员通过情感调解，超市老板最终同意承担全部赔偿责任
## 主要法律依据：</t>
        </is>
      </c>
      <c r="O10" s="21" t="n">
        <v>5</v>
      </c>
      <c r="P10" s="14" t="n"/>
    </row>
    <row r="11" ht="60" customHeight="1">
      <c r="A11" s="2" t="inlineStr">
        <is>
          <t>Q10</t>
        </is>
      </c>
      <c r="B11" s="15" t="inlineStr">
        <is>
          <t>语义理解</t>
        </is>
      </c>
      <c r="C11" s="2" t="inlineStr">
        <is>
          <t>公司不给员工买保险，出了事故不认账，有没有相关案例？</t>
        </is>
      </c>
      <c r="D11" s="2" t="inlineStr">
        <is>
          <t>口语化→工伤保险纠纷</t>
        </is>
      </c>
      <c r="E11" s="2" t="inlineStr">
        <is>
          <t>结构化切块+向量检索</t>
        </is>
      </c>
      <c r="F11" s="14" t="n"/>
      <c r="G11" s="14" t="n"/>
      <c r="H11" s="14" t="n"/>
      <c r="I11" s="14" t="n"/>
      <c r="J11" s="14" t="n"/>
      <c r="K11" s="14" t="n"/>
      <c r="L11" s="20" t="inlineStr">
        <is>
          <t>根据已知信息，以下案例涉及公司未为员工购买保险，且在事故发生后推卸责任的情况：
### 1. **胡某与西安市某汽车工贸公司工伤赔偿案**  
   - **未参保事实**：公司未为胡某办理工伤保险。  
   - **事故与推责**：胡某在工作时因设备事故压断3根手指，公司以“其存在违规操作”为由拒绝赔偿，并质疑40万元赔偿金额的合理性。  
   - **处理结果**：调解员依据《工伤保险条例》第十四条（工伤认定）、第三十七条（七级伤残赔偿标准）及伤残鉴定书，明确公司未参保需自行承担全部赔偿，最终促成双方达成赔偿协议。  
### 2. **韦某等六人与北海市某公司劳动争议案**  
   - **未参保事实**：公司长期未为员工购买社会养老保险。  
   - **纠纷起因**：员工因公司未参保辞职，公司既不补缴保险也不办理离职手续，并以“企业亏损”推脱责任（实际公司购置大量客运车）。  
   - **处理结果**：调解员通过《社会保险法》《劳动法》释法，公司最终同意补缴养老保险，员工自愿放弃经济补偿金。  
### 3. **詹某工亡待遇争议案**  
   - **未参保争议**：总承包单位按项目为农民工詹某参保，但人社局以“参保单位与用人单位不一致”为由拒绝支付工伤待遇。  
   - **公司责任**：用人单位（脚手架公司）未直接参保，但依据《关于进一步做好建筑业工伤保险工作的意见》（人社部发〔2014〕103号），施工总承包单位按项目参保后，工伤待遇应由工伤保险基金支付。  
   - **处理结果**：法院改判支持詹某家属，明确建筑业按项目参保的特殊性，保障农民工权益。  
### 4. **黄某工伤认定行政案**  
   - **未参保与推责**：公司未为黄某参保，且在工伤事故后伪造证据（如虚假辞职报告、未公示的考勤制度）否认工伤事实，人社局</t>
        </is>
      </c>
      <c r="M11" s="21" t="n">
        <v>5</v>
      </c>
      <c r="N11" s="20" t="inlineStr">
        <is>
          <t xml:space="preserve">
根据检索结果，我找到了多个与"公司不给员工买保险，出了事故不认账"相关的典型案例。以下是几个典型案例的分析：
## 案例一：胡某与西安市灞桥区某汽车工贸公司劳动争议纠纷调解案
**案情要点：**
- 公司与胡某签订了劳动合同，但**未为其办理工伤保险**
- 胡某在工作中被设备压断3根手指，公司推卸责任，认为其自身也有责任
- 公司对胡某要求的40万元赔偿款额合理性提出质疑
**处理结果：**
- 调解员通过讲解《工伤保险条例》第十条，指出用人单位应当按时缴纳工伤保险费
- 由于公司未缴纳保险费，胡某有权直接向公司索赔
- 最终双方达成赔偿协议，公司承担赔偿责任
## 案例二：江某诉某医疗保险基金管理中心先予支付工伤保险待遇案
**案情要点：**
- 商贸公司**未为江某参加职工工伤保险**并缴纳工伤保险费
- 江某在送货途中发生交通事故被认定为工伤（九级伤残）
- 仲裁裁决公司支付各项工伤保险待遇，但公司无财产可供执行
**法律依据：**
- 《社会保险法》第四十一条规定：用人单位未依法缴纳工伤保险费，发生工伤事故的，由用人单位支付工伤保险待遇
- 用人单位不支付的，从工伤保险基金中先行支付
## 案例三：建筑业农民工詹某工伤保险赔偿案
**案情要点：**
- 詹某是农民工，脚手架公司为其购买了工伤保险
- 但人社局以"用人单位未依法缴纳工伤保险"为由拒绝支付工伤待遇
- 出现了虽然参保但待遇被拒的情况
## 法律要点总结：
1. **用人单位法定义务**：根据《工伤保险条例》第十条，用人单位应当按时缴纳工伤保险费，职工个人不缴纳工伤保险费
2. **工伤认定不受影响**：即使公司未缴纳工伤保险，只要符合工伤认定条件，仍可认定为工伤
3. **赔偿责任主体**：未参保发生工伤的，由用人单位按照工伤保险待遇项目和标准支付全部费用
4. **先行支</t>
        </is>
      </c>
      <c r="O11" s="21" t="n">
        <v>5</v>
      </c>
      <c r="P11" s="14" t="n"/>
    </row>
    <row r="12" ht="60" customHeight="1">
      <c r="A12" s="2" t="inlineStr">
        <is>
          <t>Q11</t>
        </is>
      </c>
      <c r="B12" s="15" t="inlineStr">
        <is>
          <t>语义理解</t>
        </is>
      </c>
      <c r="C12" s="2" t="inlineStr">
        <is>
          <t>有没有弱势群体维权成功的典型案例？</t>
        </is>
      </c>
      <c r="D12" s="2" t="inlineStr">
        <is>
          <t>宽泛概念→需理解'弱势群体'含义</t>
        </is>
      </c>
      <c r="E12" s="2" t="inlineStr">
        <is>
          <t>结构化切块+向量检索</t>
        </is>
      </c>
      <c r="F12" s="14" t="n"/>
      <c r="G12" s="14" t="n"/>
      <c r="H12" s="14" t="n"/>
      <c r="I12" s="14" t="n"/>
      <c r="J12" s="14" t="n"/>
      <c r="K12" s="14" t="n"/>
      <c r="L12" s="20" t="inlineStr">
        <is>
          <t>根据已知信息，有多个弱势群体维权成功的典型案例。例如：
- 湖南省岳阳市法律援助中心对江某某工伤保险待遇纠纷案：农民工江某清通过法律援助达成调解协议，公司支付补偿款，解决了生活困难。
- 浙江省台州市天台县法律援助中心对巴某等31人追索劳动报酬纠纷案：31名农民工通过法律援助创新举措，成功追讨工资，降低维权成本。
- 山东省日照市莒县法律援助中心对刘某等农民工讨薪法律援助案：农民工通过诉调结合，达成调解协议，公司分期支付拖欠工资及利息。
- 广东省云浮市罗定市法律援助处为邓某锋三兄妹申请宣告父母失踪案：三名孤儿通过法律援助获得身份认定和集中供养，维护了权益。
- 衡阳市侯某某与某银行金融纠纷调解案：残障人士侯某某通过调解达成公平待遇，保障了金融消费者权益。</t>
        </is>
      </c>
      <c r="M12" s="21" t="n">
        <v>5</v>
      </c>
      <c r="N12" s="20" t="inlineStr">
        <is>
          <t xml:space="preserve">
根据检索结果，我为您整理了几个弱势群体维权成功的典型案例，涵盖了不同类型的弱势群体：
## 一、农民工维权案例
### 1. 湖南省岳阳市江某某工伤保险待遇纠纷案
**弱势群体**：未签订劳动合同的农民工
**维权方式**：法律援助调解
**成功经验**：
- 开通疫情期间"优先通道"
- 采取多元化解纠纷机制
- 通过庭前庭后多次沟通达成调解
- 公司分两次支付补偿款，受援人当场获得50%现金
### 2. 浙江省台州市巴某等31人集体讨薪案
**弱势群体**：31名分布广泛的农民工
**维权方式**：法律援助"全程代理制"
**成功经验**：
- 创新援助举措，降低维权成本
- "全程代理制"让维权路少跑三万里
- 获得受援人高度认可和好评
### 3. 山东省日照市刘某等农民工讨薪案
**弱势群体**：拖欠工资长达四年的农民工
**维权方式**：法律援助诉调结合
**成功经验**：
- 承办律师采取诉调结合方式
- 促成公司分期支付拖欠工资及利息
- 案件快速调解结案，保障合法权益
## 二、特殊群体维权案例
### 4. 广东省云浮市邓某锋三兄妹宣告父母失踪案
**弱势群体**：三名孤儿
**维权方式**：法律援助多方协作
**成功经验**：
- 法律援助处联合村委、法律顾问协作
- 从案情了解到孤儿身份认定的全程服务
- 为孤儿争取到完满结果，维护社会公平
### 5. 衡阳市侯某某金融纠纷调解案
**弱势群体**：残障人士金融消费者
**维权方式**：人民调解
**成功经验**：
- 强调金融机构对弱势群体的特殊责任
- 体现"金融为民"理念
- 提供安全、便捷、优质、人性化的金融服务
## 典型价值总结
这些案例共同体现了以下成功经验：
1. **法律援助的核心作用**：为弱势群体提供专业法律帮助，解决维权难问题
2. **创新服务模式*</t>
        </is>
      </c>
      <c r="O12" s="21" t="n">
        <v>5</v>
      </c>
      <c r="P12" s="14" t="n"/>
    </row>
    <row r="13" ht="60" customHeight="1">
      <c r="A13" s="2" t="inlineStr">
        <is>
          <t>Q12</t>
        </is>
      </c>
      <c r="B13" s="15" t="inlineStr">
        <is>
          <t>语义理解</t>
        </is>
      </c>
      <c r="C13" s="2" t="inlineStr">
        <is>
          <t>租房押金不退，房东各种理由拖延，有没有类似案例？</t>
        </is>
      </c>
      <c r="D13" s="2" t="inlineStr">
        <is>
          <t>口语化→合同纠纷</t>
        </is>
      </c>
      <c r="E13" s="2" t="inlineStr">
        <is>
          <t>结构化切块+向量检索</t>
        </is>
      </c>
      <c r="F13" s="14" t="n"/>
      <c r="G13" s="14" t="n"/>
      <c r="H13" s="14" t="n"/>
      <c r="I13" s="14" t="n"/>
      <c r="J13" s="14" t="n"/>
      <c r="K13" s="14" t="n"/>
      <c r="L13" s="20" t="inlineStr">
        <is>
          <t>根据已知信息，北京市延庆区李某某与肖某某合同纠纷调解案涉及租房押金不退的情况（李某某不退还肖某某租房押金2500元整），但该案例未提及房东拖延的理由；其他案例均不涉及租房押金问题。因此，对于房东以各种理由拖延不退押金的具体情况，没有直接类似的案例。</t>
        </is>
      </c>
      <c r="M13" s="21" t="n">
        <v>4</v>
      </c>
      <c r="N13" s="20" t="inlineStr">
        <is>
          <t xml:space="preserve">
根据检索结果，我找到了一个非常符合您描述情况的案例：
## 北京市延庆区李某某与肖某某合同纠纷调解案
### 案件基本情况
- **合同情况**：2019年5月签订两年期房屋租赁合同，年租金33600元，押金2500元
- **争议起因**：2020年4月，合同尚未到期，租户肖某某提出提前退租
- **房东理由**：房东李某某以租户提前退租为由拒绝退还押金，并提出多项费用要求
### 房东提出的各种理由
房东李某某以以下理由拒绝退还押金并要求租户支付：
1. **违约金**：认为租户提前终止合同属于违约
2. **物业费**：要求补齐拖欠的物业费
3. **水费**：要求支付拖欠的水费
4. **收视费**：要求支付拖欠的收视费
5. **冰箱维修费**：声称租户居住期间冰箱损坏，要求维修费
### 调解结果
在街道人民调解委员会的调解下，双方达成协议：
- 房东不再退还租户押金2500元
- 租户一次性支付房东违约金、收视费、冰箱维修费、水费等共计1000元
- 纠纷一次性解决，双方再无其他争议
### 法律依据
根据《合同法》相关规定：
- **第107条**：当事人一方不履行合同义务或者履行合同义务不符合约定的，应当承担违约责任
- **第114条**：当事人可以约定违约金，也可以约定因违约产生的损失赔偿额的计算方法
### 典型价值
这个案例展示了房东以各种理由拒绝退还押金的常见做法，以及通过人民调解解决此类纠纷的有效途径。特别是在疫情期间，租户因经济困难提前退租的情况下，调解体现了互谅互让的精神。
如果您遇到类似情况，建议：
1. 仔细查看租赁合同中关于押金退还的条款
2. 收集相关证据（如房屋损坏情况、费用缴纳凭证等）
3. 可以通过人民调解、仲裁或诉讼等途径维护自身权益</t>
        </is>
      </c>
      <c r="O13" s="21" t="n">
        <v>5</v>
      </c>
      <c r="P13" s="14" t="n"/>
    </row>
    <row r="14" ht="60" customHeight="1">
      <c r="A14" s="2" t="inlineStr">
        <is>
          <t>Q13</t>
        </is>
      </c>
      <c r="B14" s="15" t="inlineStr">
        <is>
          <t>语义理解</t>
        </is>
      </c>
      <c r="C14" s="2" t="inlineStr">
        <is>
          <t>消费者买到假冒伪劣商品，商家不赔偿，怎么维权？</t>
        </is>
      </c>
      <c r="D14" s="2" t="inlineStr">
        <is>
          <t>口语化→消费者权益保护</t>
        </is>
      </c>
      <c r="E14" s="2" t="inlineStr">
        <is>
          <t>结构化切块+向量检索</t>
        </is>
      </c>
      <c r="F14" s="14" t="n"/>
      <c r="G14" s="14" t="n"/>
      <c r="H14" s="14" t="n"/>
      <c r="I14" s="14" t="n"/>
      <c r="J14" s="14" t="n"/>
      <c r="K14" s="14" t="n"/>
      <c r="L14" s="20" t="inlineStr">
        <is>
          <t>根据已知信息，消费者买到假冒伪劣商品后商家不赔偿，可通过以下方式维权：
1. **固定证据**  
   参考盗版侵权证据保全公证案，消费者应保留购物凭证、商品实物、交易记录等证据。必要时可申请公证机构对购买过程及商品进行证据保全（如案例中公证员全程监督购买并出具公证书），确保证据真实、完整。
2. **主张法定权利**  
   依据《消费者权益保护法》第八条、第九条、第十条，消费者享有知情权、自主选择权和公平交易权。商家售假已侵害上述权利，消费者可要求商家履行退货、赔偿等义务（如通讯运营商案例中，经营者因过错需退费）。
3. **寻求调解解决**  
   参考消费纠纷调解案例（如王某、李某与餐厅案，韩某与洗衣店案），可向消费者协会、市场监管部门或行业调解组织申请调解。调解中需明确双方责任，若证据不足，可采取背对背调解等方式促成和解。
4. **行政投诉或诉讼**  
   若调解不成，可向市场监管部门投诉（如通讯案例中工商局介入），或向人民法院提起诉讼。公证证据在诉讼中具有突出优势（如盗版案例所示），可提高维权成功率。
**注意**：消费者需及时保留有效证据（如洗衣店案例强调），避免因证据不足导致维权困难。商家售假属违法行为，消费者依法有权要求赔偿并追究其责任。
（注：以上回答基于已知信息中消费者权益保护、证据保全及纠纷调解的相关案例及法律依据，未添加编造成分。）</t>
        </is>
      </c>
      <c r="M14" s="21" t="n">
        <v>4</v>
      </c>
      <c r="N14" s="20" t="inlineStr">
        <is>
          <t xml:space="preserve">
根据检索到的相关案例，当消费者买到假冒伪劣商品而商家不赔偿时，可以通过以下途径维权：
## 主要维权途径
### 1. **证据保全公证**
- **适用情况**：购买到假冒伪劣商品时，及时通过公证机构进行证据保全
- **具体做法**：以普通消费者身份购买商品，公证员全程监督购买过程，出具公证书
- **优势**：确保证据的真实性、准确性、完整性和法律效力，为后续维权提供有力支持
- **案例参考**：外语教学与研究出版社通过保全证据公证成功维权，侵权方主动和解赔偿
### 2. **调解解决**
- **适用情况**：通过第三方调解机构解决纠纷
- **具体做法**：
  - 向消费者协会、行业调解委员会等机构申请调解
  - 调解员基于事实和法律，分析双方责任
  - 促使双方互谅互让，达成和解协议
- **案例参考**：上海市普陀区便利店与杂货店知识产权纠纷通过调解成功解决
### 3. **投诉举报**
- **适用情况**：向相关监管部门投诉
- **具体做法**：
  - 向市场监督管理局、工商部门等投诉
  - 提供购买凭证、商品照片、检测报告等证据
  - 要求监管部门依法查处违法行为
### 4. **法律诉讼**
- **适用情况**：其他途径无法解决时
- **具体做法**：
  - 向人民法院提起诉讼
  - 要求商家承担"退一赔三"或"退一赔十"的赔偿责任
  - 要求停止侵害、赔礼道歉等
## 消费者权益保护法依据
根据《消费者权益保护法》相关规定，消费者享有：
- **知情权**：了解商品真实情况的权利
- **自主选择权**：自主决定购买或不购买的权利
- **公平交易权**：获得质量保障、价格合理的权利
- **求偿权**：权益受到侵害时获得赔偿的权利
## 维权步骤建议
1. **收集证据**：保留购物凭证、商品照片</t>
        </is>
      </c>
      <c r="O14" s="21" t="n">
        <v>5</v>
      </c>
      <c r="P14" s="14" t="n"/>
    </row>
    <row r="15" ht="60" customHeight="1">
      <c r="A15" s="2" t="inlineStr">
        <is>
          <t>Q14</t>
        </is>
      </c>
      <c r="B15" s="15" t="inlineStr">
        <is>
          <t>语义理解</t>
        </is>
      </c>
      <c r="C15" s="2" t="inlineStr">
        <is>
          <t>有没有打工的人受伤了，老板不管不问的案例？</t>
        </is>
      </c>
      <c r="D15" s="2" t="inlineStr">
        <is>
          <t>极度口语化→工伤赔偿纠纷</t>
        </is>
      </c>
      <c r="E15" s="2" t="inlineStr">
        <is>
          <t>结构化切块+向量检索</t>
        </is>
      </c>
      <c r="F15" s="14" t="n"/>
      <c r="G15" s="14" t="n"/>
      <c r="H15" s="14" t="n"/>
      <c r="I15" s="14" t="n"/>
      <c r="J15" s="14" t="n"/>
      <c r="K15" s="14" t="n"/>
      <c r="L15" s="20" t="inlineStr">
        <is>
          <t>根据已知信息，有打工的人受伤后老板不管不问的案例。具体如下：
在“北京市怀柔区法律援助中心对魏某劳务纠纷提供法律援助案”中，魏某受李某雇佣从事焊工工作，在工作过程中从架子上摔落受伤。李某在支付部分医疗费用后，不再继续支付，魏某多次电话联系李某均无法接通，导致魏某因无力支付后续治疗费用而伤情未愈只得出院静养。这体现了老板在打工者受伤后不管不问的情况。</t>
        </is>
      </c>
      <c r="M15" s="21" t="n">
        <v>4</v>
      </c>
      <c r="N15" s="20" t="inlineStr">
        <is>
          <t xml:space="preserve">
根据检索结果，我找到了几个符合您描述的案例，即打工者受伤后老板/公司不管不问的情况：
## 案例1：建筑工人受伤后公司拒绝申报工伤
**案例标题**：湖南省岳阳市法律援助中心对江某某工伤保险待遇纠纷提供法律援助案
**案情简介**：
- 2018年9月，江某清在广州某建设公司承建的项目部从事墙面清理工作
- 10月17日，因防护模板断裂，从6米高处摔下受伤，多处骨折
- 2019年12月被认定为工伤，2020年1月鉴定为陆级伤残
- **关键问题**：江某清多次找广州某建筑公司解决受伤一事，但**公司拒绝为其申报领取工伤保险待遇和赔偿**
## 案例2：外卖骑手受伤后站点不申报工伤
**案例标题**：江苏省苏州市昆山市法律援助中心对"外卖骑手"送餐受伤劳动争议提供法律援助案
**案情简介**：
- 赵某某于2020年1月入职昆山某外卖站点做骑手
- 1月25日下班途中接到站点电话要求加班送餐，在送餐途中撞到护栏受伤
- **关键问题**：受伤后，外卖站点**没有为其申报工伤，还停止发放工资**，赵某某因无钱住院治疗被迫忍痛回家养伤，一个月后无奈忍痛继续上班
这两个案例都体现了打工者受伤后用人单位不管不问的情况，劳动者最终通过法律援助途径维护了自己的合法权益。如果您需要了解这些案例的更多细节或处理结果，我可以为您进一步分析。</t>
        </is>
      </c>
      <c r="O15" s="21" t="n">
        <v>5</v>
      </c>
      <c r="P15" s="14" t="n"/>
    </row>
    <row r="16" ht="60" customHeight="1">
      <c r="A16" s="2" t="inlineStr">
        <is>
          <t>Q15</t>
        </is>
      </c>
      <c r="B16" s="15" t="inlineStr">
        <is>
          <t>语义理解</t>
        </is>
      </c>
      <c r="C16" s="2" t="inlineStr">
        <is>
          <t>小孩犯了法，家里没钱请律师，国家能帮忙吗？</t>
        </is>
      </c>
      <c r="D16" s="2" t="inlineStr">
        <is>
          <t>极度口语化→未成年人犯罪法律援助</t>
        </is>
      </c>
      <c r="E16" s="2" t="inlineStr">
        <is>
          <t>结构化切块+向量检索</t>
        </is>
      </c>
      <c r="F16" s="14" t="n"/>
      <c r="G16" s="14" t="n"/>
      <c r="H16" s="14" t="n"/>
      <c r="I16" s="14" t="n"/>
      <c r="J16" s="14" t="n"/>
      <c r="K16" s="14" t="n"/>
      <c r="L16" s="20" t="inlineStr">
        <is>
          <t>根据已知信息，无法回答该问题。</t>
        </is>
      </c>
      <c r="M16" s="21" t="n">
        <v>0</v>
      </c>
      <c r="N16" s="20" t="inlineStr">
        <is>
          <t xml:space="preserve">
根据检索到的司法案例，我可以明确回答您的问题：**国家确实会为家庭困难的未成年人提供法律援助**。
## 具体情况分析
### 1. 未成年人犯罪案件的法律援助
从吉林省吉林市丰满区的案例可以看出：
- **案例情况**：丰满区法律援助中心为5名涉嫌盗窃罪的未成年人提供法律援助
- **援助效果**：通过法律援助中心与检察机关的积极沟通，辩护律师对未成年嫌疑人及其家长进行有效指导，最终达到理想效果
- **受援人反馈**：受援人对案件结果表示满意，对法律援助中心及律师的工作表示感谢
### 2. 法律援助的条件
从多个案例可以看出，未成年人申请法律援助通常需要满足以下条件：
- **未成年人身份**：受援人必须是未成年人
- **家庭经济困难**：家庭经济条件困难，依靠父母打工维生
- **合法权益受损**：无论是作为刑事案件被告人还是民事案件原告，合法权益需要保护
### 3. 法律援助的内容
法律援助包括：
- **刑事辩护**：为涉嫌犯罪的未成年人提供辩护
- **民事代理**：为受到侵害的未成年人提供诉讼代理
- **法律咨询**：提供专业的法律意见和指导
### 4. 申请途径
- **法律援助中心**：各地都设有法律援助中心
- **申请材料**：通常需要提供身份证明、家庭经济困难证明、案件相关材料等
## 结论
**国家确实会为家庭困难的未成年人提供法律援助**，包括犯罪案件中的辩护服务。如果您遇到这种情况，建议及时联系当地的法律援助中心，他们会根据您的具体情况提供相应的法律帮助。法律援助是国家保障公民合法权益的重要制度，确保即使是经济困难的未成年人也能获得专业的法律服务。</t>
        </is>
      </c>
      <c r="O16" s="21" t="n">
        <v>5</v>
      </c>
      <c r="P16" s="14" t="n"/>
    </row>
    <row r="17" ht="60" customHeight="1">
      <c r="A17" s="2" t="inlineStr">
        <is>
          <t>Q16</t>
        </is>
      </c>
      <c r="B17" s="15" t="inlineStr">
        <is>
          <t>语义理解</t>
        </is>
      </c>
      <c r="C17" s="2" t="inlineStr">
        <is>
          <t>有没有那种两口子闹离婚，为了孩子抚养权打官司的案例？</t>
        </is>
      </c>
      <c r="D17" s="2" t="inlineStr">
        <is>
          <t>口语化→婚姻家庭抚养权争议</t>
        </is>
      </c>
      <c r="E17" s="2" t="inlineStr">
        <is>
          <t>结构化切块+向量检索</t>
        </is>
      </c>
      <c r="F17" s="14" t="n"/>
      <c r="G17" s="14" t="n"/>
      <c r="H17" s="14" t="n"/>
      <c r="I17" s="14" t="n"/>
      <c r="J17" s="14" t="n"/>
      <c r="K17" s="14" t="n"/>
      <c r="L17" s="20" t="inlineStr">
        <is>
          <t>根据已知信息，有案例涉及离婚或类似关系中，为了孩子抚养权打官司（即通过诉讼解决）。具体如下：
1. **遭遇家暴导致离婚后该如何保护自己**：赵女士与雷先生在离婚诉讼中，因孩子抚养权问题诉至法院。赵女士要求离婚，并主张婚生男孩由其抚养，法院最终判决支持其诉求，涉及抚养权争议的诉讼解决。
2. **江苏省徐州市铜山区法律援助中心对精神病人杜某非婚生子女抚养权纠纷提供法律援助案**：杜某与朱某（同居关系）因非婚生子女抚养权归属产生纠纷，通过法律援助中心申请援助，承办人将案件诉至法院，法院判决孩子归女方抚养，涉及抚养权诉讼。
3. **江西省抚州市东乡区法律援助中心对乐某与王某同居关系子女抚养纠纷提供法律援助案**：乐某与王某（同居关系）因子女抚养权和医疗费用问题申请法律援助，承办律师代理诉讼，法院判决孩子由乐某抚养，王某支付抚养费，涉及抚养权诉讼。
这些案例均显示，在离婚或类似关系中，抚养权争议可通过诉讼方式解决。</t>
        </is>
      </c>
      <c r="M17" s="21" t="n">
        <v>5</v>
      </c>
      <c r="N17" s="20" t="inlineStr">
        <is>
          <t xml:space="preserve">
根据检索结果，我找到了几个关于离婚或类似关系中孩子抚养权纠纷的案例，其中最符合您描述的是：
## 主要案例：乐某与王某同居关系子女抚养纠纷案
**案件背景：**
- 乐某与王某经亲友介绍认识并同居生活，因未满法定婚龄无法登记结婚
- 2017年1月，王某生育一女，孩子出生后一直随乐某及其家人生活
- 孩子被诊断为脑部神经异常、发育迟缓，需要长期稳定治疗
- 乐某家庭困难，无力承担治疗费用，而王某拒绝支付相关费用
**诉讼过程：**
乐某向法律援助中心申请援助，律师代理后向法院提起诉讼，主张：
1. 孩子应判给原告抚养，因为孩子一直随原告生活，原告能提供良好生活环境
2. 被告作为生母应当支付抚养费、医疗费、教育费等费用
**法院判决：**
抚州市东乡区人民法院判决：
- 孩子由原告乐某抚养
- 被告王某按月支付抚养费800元直至孩子年满18周岁
- 被告王某支付已花费的子女医疗费用的一半（15191.94元）
## 其他相关案例：
### 1. 辽宁丹东市变更抚养权协议公证案
- 离婚时约定孩子归男方抚养，后因孩子上学需要变更抚养权
- 通过公证方式签订《变更抚养权协议》，解决了户籍和入学问题
### 2. 重庆市九龙坡区高某与秦某夫妇婚姻家庭纠纷调解案
- 涉及养父母与养子女的抚养纠纷，通过人民调解方式解决
### 3. 江苏省徐州市精神病人杜某非婚生子女抚养权纠纷案
- 双方均为残疾人，因非婚生子女抚养权产生纠纷，最终通过法院判决确定抚养权归属
这些案例都体现了在离婚或类似关系破裂后，父母双方为了孩子抚养权而产生的法律纠纷，法院通常会从"有利于子女身心健康，保障子女合法权益"的原则出发来判决。</t>
        </is>
      </c>
      <c r="O17" s="21" t="n">
        <v>4</v>
      </c>
      <c r="P17" s="14" t="n"/>
    </row>
    <row r="18" ht="60" customHeight="1">
      <c r="A18" s="2" t="inlineStr">
        <is>
          <t>Q17</t>
        </is>
      </c>
      <c r="B18" s="16" t="inlineStr">
        <is>
          <t>典型性判断</t>
        </is>
      </c>
      <c r="C18" s="2" t="inlineStr">
        <is>
          <t>请判断以下案件是否具有典型性：某工厂工人李某在工作中因机器故障失去右手手指，工厂以李某操作不当为由拒绝赔偿工伤，李某申请劳动仲裁，最终获赔18万元。请结合知识库中的典型案例说明判断依据。</t>
        </is>
      </c>
      <c r="D18" s="2" t="inlineStr">
        <is>
          <t>工伤赔偿，知识库中有高度相似案例（胡某案）</t>
        </is>
      </c>
      <c r="E18" s="2" t="inlineStr">
        <is>
          <t>结构化切块+Prompt</t>
        </is>
      </c>
      <c r="F18" s="14" t="n"/>
      <c r="G18" s="14" t="n"/>
      <c r="H18" s="14" t="n"/>
      <c r="I18" s="14" t="n"/>
      <c r="J18" s="14" t="n"/>
      <c r="K18" s="14" t="n"/>
      <c r="L18" s="20" t="inlineStr">
        <is>
          <t xml:space="preserve">根据已知信息，该案件具有典型性。判断依据如下：
### 判断依据：
1. **工伤认定争议的典型性**：  
   该案件中，工厂以李某操作不当为由拒绝赔偿工伤，这与知识库中“胡某与西安市灞桥区某汽车工贸公司劳动争议纠纷调解案”高度相似。胡某在工作中因设备压断手指，公司同样以违规操作为由拒绝赔偿，但通过工伤认定程序（包括工伤认定书和伤残鉴定）确认事故属于工伤，最终达成赔偿协议。这反映了劳动争议中常见的工伤认定争议类型，即雇主常以员工操作不当为由推卸责任，但员工可通过法律程序证明事故符合工伤条件。
2. **赔偿标准的典型性**：  
   李某最终获赔18万元，这符合工伤赔偿的典型标准。在胡某案中，赔偿包括医疗费、一次性伤残补助金（七级伤残为13个月工资）、一次性医疗补助金和一次性就业补助金等，具体金额依据《工伤保险条例》计算。李某案中因机器故障导致右手手指伤残，类似胡某的手指伤残情况，赔偿金额（18万元）可能基于伤残等级、工资水平等法定标准，体现了工伤赔偿的典型计算方式。
3. **争议解决途径的典型性**：  
   李某通过劳动仲裁获赔，这与知识库中多个案例的解决途径一致。例如：
   - 胡某案通过行业调解解决争议。
   - 天津市武清区李某案通过劳动仲裁和法律援助解决解除劳动合同争议。
   - 佛山市南海区李某某案通过调解达成工亡赔偿协议。  
   这些案例均表明，劳动争议（尤其是工伤赔偿）常通过仲裁、调解或法律援助等途径解决，李某案中的仲裁程序是此类争议的典型处理方式。
4. **案件要素的典型性**：  
   该案件涉及工伤事故（机器故障）、雇主拒绝赔偿理由（操作不当）、劳动关系确认（工厂工人）和最终赔偿结果，这些要素在知识库案例中反复出现。例如：
   - 胡某案：设备故障导致手指伤残，公司以违规操作拒绝赔偿，最终通过工伤认定和调解获赔。
 </t>
        </is>
      </c>
      <c r="M18" s="21" t="n">
        <v>5</v>
      </c>
      <c r="N18" s="20" t="inlineStr">
        <is>
          <t xml:space="preserve">
基于知识库中的典型案例分析，我认为您提出的李某案件**具有典型性**。以下是详细的判断依据：
## 一、案件典型性分析
### 1. 与案例2（胡某案）高度相似
**核心相似点：**
- **伤害性质相同**：都是在工作过程中因机器设备故障导致手指伤残
- **争议焦点一致**：用人单位均以"操作不当"为由拒绝承担工伤责任
- **工伤认定程序**：都需要通过工伤认定和伤残等级鉴定
- **赔偿结果**：最终都通过劳动争议解决机制获得赔偿
### 2. 符合工伤认定的核心要件
根据案例2和案例4的分析，李某的案件完全符合《工伤保险条例》第十四条规定的工伤认定条件：
- **工作时间**：在工作时间范围内
- **工作场所**：在工作场所内
- **工作原因**：因工作原因受到事故伤害
### 3. 涉及常见的工伤赔偿争议模式
从案例2、案例3可以看出，李某案件体现了工伤赔偿中的典型争议模式：
- 用人单位推卸责任（以操作不当为由）
- 工伤认定过程中的争议
- 赔偿金额的协商与确定
## 二、典型价值体现
### 1. 法律适用价值
- **工伤认定标准**：明确了工作场所内因机器故障受伤应认定为工伤
- **举证责任分配**：用人单位需证明员工存在重大过失才能免责
- **赔偿计算标准**：为类似手指伤残的赔偿金额提供了参考
### 2. 社会实践价值
- **劳动者权益保护**：保护了劳动者在工作中的安全保障权
- **用人单位责任**：强化了用人单位的安全生产和工伤保险缴纳义务
- **争议解决机制**：展示了劳动仲裁在工伤纠纷中的有效作用
### 3. 参考指导价值
- **工伤认定流程**：为类似案件提供了工伤认定的标准流程
- **赔偿计算方法**：案例2中详细列出的四部分赔偿构成（医疗费、误工费、辅助器具费、伤残补助金）具有参考价值
- **</t>
        </is>
      </c>
      <c r="O18" s="21" t="n">
        <v>5</v>
      </c>
      <c r="P18" s="14" t="n"/>
    </row>
    <row r="19" ht="60" customHeight="1">
      <c r="A19" s="2" t="inlineStr">
        <is>
          <t>Q18</t>
        </is>
      </c>
      <c r="B19" s="16" t="inlineStr">
        <is>
          <t>典型性判断</t>
        </is>
      </c>
      <c r="C19" s="2" t="inlineStr">
        <is>
          <t>请判断以下案件是否具有典型性：75岁老人王某将毕生积蓄50万存入银行，被银行员工误导购买了高风险理财产品，产品亏损后银行拒绝赔偿，老人申请调解，要求退还本金。</t>
        </is>
      </c>
      <c r="D19" s="2" t="inlineStr">
        <is>
          <t>金融消费纠纷，知识库中有部分相似案例</t>
        </is>
      </c>
      <c r="E19" s="2" t="inlineStr">
        <is>
          <t>结构化切块+Prompt</t>
        </is>
      </c>
      <c r="F19" s="14" t="n"/>
      <c r="G19" s="14" t="n"/>
      <c r="H19" s="14" t="n"/>
      <c r="I19" s="14" t="n"/>
      <c r="J19" s="14" t="n"/>
      <c r="K19" s="14" t="n"/>
      <c r="L19" s="20" t="inlineStr">
        <is>
          <t>根据已知信息，该案件具有典型性。理由如下：
1. **与已知案例的相似性**：在青岛市罗某与某银行消费纠纷调解案中，银行员工在推销信用卡分期业务时，未充分告知关键信息（如分期付款义务），导致消费者误解，最终银行被认定存在不当行为并同意退款。这反映了银行在销售金融产品时可能存在的误导行为，与用户案件中“银行员工误导购买高风险理财产品”的情况高度相似。
2. **纠纷类型的常见性**：已知信息中的多个案例（如苏某案例和罗某案例）均涉及银行消费纠纷，焦点包括消费者知情权、银行告知义务及产品风险提示。用户案件中的高风险理财产品亏损和退还本金诉求，是此类纠纷的典型表现，尤其在老年人群体中较为常见。
3. **调解机制的适用性**：已知案例中，调委会通过多元化调解方式（如电话、视频等）成功化解纠纷，这为类似案件（如用户案件中的老人申请调解）提供了可借鉴的处理模式。
综上，该案件具有典型性，因为它代表了银行在金融产品销售中因误导行为引发消费纠纷的常见类型，与已知案例的核心要素一致。</t>
        </is>
      </c>
      <c r="M19" s="21" t="n">
        <v>4</v>
      </c>
      <c r="N19" s="20" t="inlineStr">
        <is>
          <t xml:space="preserve">
基于检索到的相关案例，我来分析您描述的案件是否具有典型性：
## 检索到的相关案例
我找到了一个**青岛市苏某与某银行消费纠纷调解案**，该案例涉及理财产品纠纷，但与您描述的案件存在关键差异：
### 相似之处：
- 都涉及银行理财产品纠纷
- 都通过调解方式解决
- 都涉及较大金额（50万/108万元）
### 关键差异：
1. **误导性质不同**：
   - 您描述的案件：银行员工主动误导购买高风险产品
   - 检索案例：消费者自主购买，仅对产品规则产生误解
2. **责任认定不同**：
   - 您描述的案件：银行可能存在过错（误导销售）
   - 检索案例：银行已充分披露信息，消费者自身忽略重要规则
## 典型性分析
**您描述的案件具有较高的典型性，原因如下：**
### 1. **社会关注度高**
- 涉及老年群体金融保护问题
- 关系到毕生积蓄的安全
- 触及金融消费者权益保护的核心问题
### 2. **法律争议焦点明确**
- 银行员工是否存在误导行为
- 高风险产品的适当性义务履行情况
- 老年人作为特殊消费者的保护标准
### 3. **调解机制适用性强**
- 金融消费纠纷调解是解决此类问题的有效途径
- 相比诉讼更快捷、成本更低
- 有利于维护老年消费者的合法权益
### 4. **行业警示意义**
- 对银行业规范理财产品销售行为具有警示作用
- 促进金融机构加强对老年客户的风险提示和适当性管理
- 推动金融消费者权益保护制度的完善
## 建议
如果您需要进一步分析这个案件，建议：
1. 收集银行员工误导的具体证据（如录音、证人证言等）
2. 查看理财产品说明书中的风险提示内容
3. 了解银行是否对老年客户进行了风险评估
4. 通过金融消费纠纷调解委员会寻求专业调解
这类案件在当前金融消费领域确实具有相当的典型性</t>
        </is>
      </c>
      <c r="O19" s="21" t="n">
        <v>4</v>
      </c>
      <c r="P19" s="14" t="n"/>
    </row>
    <row r="20" ht="60" customHeight="1">
      <c r="A20" s="2" t="inlineStr">
        <is>
          <t>Q19</t>
        </is>
      </c>
      <c r="B20" s="16" t="inlineStr">
        <is>
          <t>典型性判断</t>
        </is>
      </c>
      <c r="C20" s="2" t="inlineStr">
        <is>
          <t>请判断以下案件是否具有典型性：外卖骑手张某送餐途中发生交通事故，平台以张某是'个人合作商'而非员工为由拒绝承担工伤赔偿责任。</t>
        </is>
      </c>
      <c r="D20" s="2" t="inlineStr">
        <is>
          <t>平台用工，知识库中有昆山案例直接对应</t>
        </is>
      </c>
      <c r="E20" s="2" t="inlineStr">
        <is>
          <t>结构化切块+Prompt</t>
        </is>
      </c>
      <c r="F20" s="14" t="n"/>
      <c r="G20" s="14" t="n"/>
      <c r="H20" s="14" t="n"/>
      <c r="I20" s="14" t="n"/>
      <c r="J20" s="14" t="n"/>
      <c r="K20" s="14" t="n"/>
      <c r="L20" s="20" t="inlineStr">
        <is>
          <t>根据已知信息，用户描述的案件（外卖骑手张某送餐途中发生交通事故，平台以张某是'个人合作商'而非员工为由拒绝承担工伤赔偿责任）具有典型性。理由如下：
在已知信息中，江苏省苏州市昆山市法律援助中心的案例（赵某某案）明确展示了类似情况：外卖骑手赵某某在送餐途中受伤，外卖站点最初拒绝申报工伤，但通过法律援助确认了劳动关系，最终获得工伤赔偿。该案例被归类为“各类法律援助典型案例”，反映了外卖骑手因劳动关系认定困难而维权难的现实问题，具有代表性。
因此，基于已知信息，该案件具有典型性。</t>
        </is>
      </c>
      <c r="M20" s="21" t="n">
        <v>5</v>
      </c>
      <c r="N20" s="20" t="inlineStr">
        <is>
          <t xml:space="preserve">
基于检索到的案例，我可以判断您描述的案件**具有很高的典型性**。以下是详细分析：
## 相关典型案例
**江苏省苏州市昆山市法律援助中心对"外卖骑手"送餐受伤劳动争议提供法律援助案**
### 案件相似性分析
该案例与您描述的案件高度吻合：
- **主体相同**：都是外卖骑手
- **场景相同**：都是在送餐途中发生交通事故
- **争议焦点相同**：劳动关系认定和工伤赔偿责任
- **平台抗辩理由相似**：平台试图通过用工形式规避责任
### 典型性体现
#### 1. **新型就业形态的代表性**
- 涉及"网约"、"派单"等灵活就业模式
- 平台以"按单计酬"、"无底薪"等名义规避劳动关系
- 代表了当前外卖行业普遍存在的用工模式争议
#### 2. **法律认定的示范意义**
- **"三要素"劳动关系认定标准**：
  - 骑手是站点专职人员，服务属于用人单位业务组成部分
  - 接受用人单位劳动管理，有上下线时间要求
  - 从事用人单位安排的有报酬劳动
- 为类似案件提供了重要的裁判参考
#### 3. **社会影响的广泛性**
- 涉及大量外卖骑手的合法权益
- 关系到新型就业形态下劳动者权益保护
- 影响平台经济用工模式的规范化发展
#### 4. **维权路径的指导价值**
- 展示了在证据不足情况下的维权策略
- 体现了法律援助制度对特殊困难群体的重要性
- 提供了调解与仲裁相结合的解决模式
## 结论
您描述的案件**具有高度的典型性**，主要体现在：
1. **行业代表性**：反映了外卖平台用工模式的普遍问题
2. **法律争议典型性**：涉及劳动关系认定的核心法律问题
3. **社会影响广泛性**：关系到大量劳动者的切身利益
4. **裁判参考价值**：为类似案件提供了重要的法律依据
该类案件已经成为劳动争议领域的热点</t>
        </is>
      </c>
      <c r="O20" s="21" t="n">
        <v>5</v>
      </c>
      <c r="P20" s="14" t="n"/>
    </row>
    <row r="21" ht="60" customHeight="1">
      <c r="A21" s="2" t="inlineStr">
        <is>
          <t>Q20</t>
        </is>
      </c>
      <c r="B21" s="16" t="inlineStr">
        <is>
          <t>典型性判断</t>
        </is>
      </c>
      <c r="C21" s="2" t="inlineStr">
        <is>
          <t>请判断以下案件是否具有典型性：某小区业主发现开发商交付的房屋实际面积比合同少8平方米，开发商拒绝退款或补偿。</t>
        </is>
      </c>
      <c r="D21" s="2" t="inlineStr">
        <is>
          <t>房屋面积纠纷，知识库中有对应案例</t>
        </is>
      </c>
      <c r="E21" s="2" t="inlineStr">
        <is>
          <t>结构化切块+Prompt</t>
        </is>
      </c>
      <c r="F21" s="14" t="n"/>
      <c r="G21" s="14" t="n"/>
      <c r="H21" s="14" t="n"/>
      <c r="I21" s="14" t="n"/>
      <c r="J21" s="14" t="n"/>
      <c r="K21" s="14" t="n"/>
      <c r="L21" s="20" t="inlineStr">
        <is>
          <t>根据已知信息，该案件具有典型性。理由如下：
1. **面积差异纠纷的常见性**：在商品房买卖合同纠纷中，房屋实际面积与合同约定面积不符（如“缩水”）是常见问题，开发商拒绝退款或补偿的情况也频繁发生。已知信息中的案例2（国内仲裁案例）直接涉及此类纠纷：业主发现房屋面积减少20.45平方米，开发商拒绝退款，仲裁庭依据《最高人民法院关于审理商品房买卖合同纠纷案件适用法律若干问题的解释》第十四条处理，体现了此类案件的典型性。
2. **法律处理的标准化**：根据《解释》第十四条，面积误差比的处理有明确规定（误差比在3%以内按合同结算，超出3%买受人可要求退款或双倍返还）。用户描述的案件（面积少8平方米）虽未指定合同面积，但比例问题（如误差比是否超出3%）是此类纠纷的核心争议点，与已知信息中的案例1和案例2一致，反映了典型法律适用场景。
3. **开发商抗辩的代表性**：开发商常以合同约定（如案例1中宣传资料不构成合同约束）或面积误差比例不足为由拒绝退款，这与用户案件中的开发商拒绝退款或补偿的行为相符，体现了典型抗辩模式。
综上，该案件在纠纷类型、争议焦点和法律适用上均具有典型性，是商品房买卖合同纠纷中的常见案例。</t>
        </is>
      </c>
      <c r="M21" s="21" t="n">
        <v>5</v>
      </c>
      <c r="N21" s="20" t="inlineStr">
        <is>
          <t xml:space="preserve">
基于检索到的相关案例，我可以判断您描述的案件**具有典型性**。以下是详细分析：
## 典型性分析
### 1. **案件类型具有典型性**
从检索到的案例来看，房屋面积缩水纠纷是商品房买卖合同纠纷中的**常见类型**：
- 案例3中，房屋实际面积比合同约定少20.45平方米
- 您描述的案例中，面积少8平方米
- 这类纠纷在房地产交易中频繁发生
### 2. **争议焦点具有典型性**
案件涉及的核心争议与检索案例高度一致：
- **面积差异处理**：实际面积少于合同约定面积
- **开发商责任认定**：开发商是否应承担退款或补偿责任
- **合同履行问题**：开发商是否构成违约
### 3. **法律适用具有典型性**
根据《最高人民法院关于审理商品房买卖合同纠纷案件适用法律若干问题的解释》第十四条，这类案件有明确的法律处理规则：
- 面积误差比在3%以内：按合同价格据实结算
- 面积误差比超出3%：买受人可要求解除合同或继续履行并要求双倍返还超出部分
### 4. **裁判规则具有典型性**
从案例3可以看出，法院/仲裁庭通常会支持：
- **退还多收房款**：按实际面积与合同面积的差额，按合同单价计算
- **配合办理产权手续**：开发商应履行合同义务
- **违约责任承担**：如存在违约，应承担相应责任
## 与检索案例的对比
### 相似之处：
1. **面积缩水事实**：都存在实际面积少于合同约定的情况
2. **开发商拒绝退款**：开发商通常以各种理由拒绝承担责任
3. **购房者维权诉求**：要求退还多收房款、支付违约金等
### 差异之处：
1. **缩水程度**：您描述的8平方米缩水比例可能因房屋总价不同而影响判断
2. **合同约定**：需要看具体合同中关于面积差异处理的条款
## 结论
您描述的案件**具有典型性**，主要体现</t>
        </is>
      </c>
      <c r="O21" s="21" t="n">
        <v>5</v>
      </c>
      <c r="P21" s="14" t="n"/>
    </row>
    <row r="22" ht="60" customHeight="1">
      <c r="A22" s="2" t="inlineStr">
        <is>
          <t>Q21</t>
        </is>
      </c>
      <c r="B22" s="16" t="inlineStr">
        <is>
          <t>典型性判断</t>
        </is>
      </c>
      <c r="C22" s="2" t="inlineStr">
        <is>
          <t>请判断以下案件是否具有典型性：聋哑人赵某在超市购物时，因无法与收银员正常沟通被误认为盗窃，遭到保安强制扣押，赵某要求超市公开道歉并赔偿。</t>
        </is>
      </c>
      <c r="D22" s="2" t="inlineStr">
        <is>
          <t>知识库中无匹配案例，应如实说无法判断</t>
        </is>
      </c>
      <c r="E22" s="2" t="inlineStr">
        <is>
          <t>结构化切块+Prompt</t>
        </is>
      </c>
      <c r="F22" s="14" t="n"/>
      <c r="G22" s="14" t="n"/>
      <c r="H22" s="14" t="n"/>
      <c r="I22" s="14" t="n"/>
      <c r="J22" s="14" t="n"/>
      <c r="K22" s="14" t="n"/>
      <c r="L22" s="20" t="inlineStr">
        <is>
          <t>根据已知信息，该案件具有典型性。理由如下：
1. **沟通障碍问题**：已知信息中，案例2（聋哑危险罪犯张某某的矫治个案）和案例3（聋哑戒毒人员李某教育矫治案例）均强调聋哑人因沟通困难（如无法正常交流、交流障碍）在生活和社会环境中易引发误解和冲突。例如，案例3提到李某“和别人交流困难，生活自理有障碍”，导致其在集体活动中被嫌弃，这与赵某因无法与收银员沟通被误认为盗窃的情况类似，反映了聋哑人常见的沟通障碍问题。
2. **公共场所纠纷处理**：案例4（马鞍山市雨山区张某与某超市损害赔偿纠纷调解案）展示了超市作为公共场所的纠纷处理模式，包括责任认定、调解过程和赔偿要求。赵某案件发生在超市，涉及误解、强制扣押及道歉赔偿诉求，这与案例4中超市纠纷的典型处理方式（如通过调解解决赔偿问题）具有一致性。
综上，该案件整合了聋哑人沟通障碍和公共场所纠纷的典型元素，与已知信息中的案例高度相关。</t>
        </is>
      </c>
      <c r="M22" s="21" t="n">
        <v>4</v>
      </c>
      <c r="N22" s="20" t="inlineStr">
        <is>
          <t xml:space="preserve">
基于我对司法典型案例知识库的检索，我发现与您描述的案件（聋哑人赵某在超市购物时因沟通困难被误认为盗窃并遭强制扣押）**没有完全匹配的案例**。让我分析一下这个案件的典型性：
## 检索结果分析
从检索到的相关案例来看：
1. **聋哑人沟通障碍案例**：找到了聋哑罪犯张某某和聋哑戒毒人员李某的案例，都涉及聋哑人因沟通困难在司法和矫治环境中面临的问题。
2. **超市盗窃相关案例**：找到了未成年人团伙盗窃超市财物的案例，但这是实际盗窃行为，不是误认盗窃。
3. **强制扣押相关案例**：找到了涉及强制措施的法律援助案例，但背景不同。
## 案件典型性判断
**该案件具有较高的典型性，理由如下：**
### 1. **社会普遍性问题**
- 聋哑人在公共场所因沟通障碍被误解的情况较为常见
- 反映了特殊群体在社会交往中的实际困难
- 涉及残疾人权益保护的社会热点问题
### 2. **法律争议焦点**
- **误认行为的法律定性**：保安强制扣押是否构成侵权
- **沟通障碍的责任划分**：超市是否应承担沟通不畅的责任
- **赔偿范围的确定**：精神损害赔偿、公开道歉等诉求的合理性
### 3. **典型价值体现**
- **人权保障**：体现了对残疾人平等权利的保护
- **社会责任**：提醒公共场所对特殊群体的包容和关怀
- **法律适用**：涉及侵权责任法、消费者权益保护法等多部法律的适用
### 4. **现实指导意义**
- 为类似案件的处理提供参考
- 促进公共场所无障碍设施建设
- 提高社会对聋哑人群体的理解和包容
## 结论
虽然知识库中没有完全相同的案例，但**该案件具有显著的典型性**。它涉及聋哑人权益保护、公共场所管理责任、侵权赔偿等多个法律和社会问题，具有重要的法律研究价值和现实指导意义。这类案件的处理对于完善相关法律规定</t>
        </is>
      </c>
      <c r="O22" s="21" t="n">
        <v>4</v>
      </c>
      <c r="P22" s="14" t="n"/>
    </row>
    <row r="23" ht="60" customHeight="1">
      <c r="A23" s="2" t="inlineStr">
        <is>
          <t>Q22</t>
        </is>
      </c>
      <c r="B23" s="16" t="inlineStr">
        <is>
          <t>典型性判断</t>
        </is>
      </c>
      <c r="C23" s="2" t="inlineStr">
        <is>
          <t>请判断以下案件是否具有典型性：某快递员王某在分拣包裹时腰部受伤，快递公司以王某是'灵活用工'人员为由拒绝认定工伤，王某申请劳动仲裁。请结合知识库中的典型案例说明判断依据。</t>
        </is>
      </c>
      <c r="D23" s="2" t="inlineStr">
        <is>
          <t>零工经济场景，与外卖骑手案例形成类比</t>
        </is>
      </c>
      <c r="E23" s="2" t="inlineStr">
        <is>
          <t>结构化切块+Prompt+Reranker</t>
        </is>
      </c>
      <c r="F23" s="14" t="n"/>
      <c r="G23" s="14" t="n"/>
      <c r="H23" s="14" t="n"/>
      <c r="I23" s="14" t="n"/>
      <c r="J23" s="14" t="n"/>
      <c r="K23" s="14" t="n"/>
      <c r="L23" s="20" t="inlineStr">
        <is>
          <t>### 判断结果
该案件具有典型性。
### 判断依据
结合知识库中的典型案例，该案件具有典型性的主要依据如下：
1. **争议类型与知识库案例5高度匹配**：  
   知识库中“江苏省苏州市昆山市法律援助中心对‘外卖骑手’送餐受伤劳动争议提供法律援助案”涉及灵活用工人员（外卖骑手）在工作期间受伤，用工单位以灵活用工模式为由拒绝认定工伤，最终通过劳动仲裁确认劳动关系并达成调解。该案例的核心争议是灵活用工人员的工伤认定问题，与用户案件中的快递员王某在分拣包裹时受伤、快递公司以“灵活用工”为由拒绝认定工伤的情况完全一致。这表明灵活用工模式下的工伤认定争议是当前劳动法领域的常见问题，具有典型性。
2. **法律原则与知识库案例1一致**：  
   知识库中“律师代理工伤受害人家人诉某县人社局不予工伤认定行政诉讼再审案”强调，工伤认定不应以劳动关系确认为前置条件，用工单位违反法律将业务转包或发包给不具备用工主体资格的组织或自然人时，应承担工伤保险责任。该案例指出，司法实务中应统一裁判尺度，避免因用工形式差异导致工伤认定争议。用户案件中，快递公司以“灵活用工”为由拒绝认定工伤，但根据案例1的法律原则，工伤认定应基于工作事实（如工作时间、工作原因），而非用工形式，这进一步支持了案件的典型性。
3. **处理程序与知识库案例5相似**：  
   知识库案例5中，外卖骑手通过劳动仲裁确认劳动关系并解决工伤争议，用户案件同样涉及王某申请劳动仲裁。这表明劳动仲裁是处理灵活用工工伤认定的常见法律途径，反映了该类案件的典型处理流程。
综上，该案件因涉及灵活用工人员的工伤认定争议，且与知识库案例5和案例1的核心问题、法律原则及处理程序高度一致，故具有典型性。</t>
        </is>
      </c>
      <c r="M23" s="21" t="n">
        <v>5</v>
      </c>
      <c r="N23" s="20" t="inlineStr">
        <is>
          <t xml:space="preserve">
基于知识库中的典型案例分析，您描述的快递员王某的案件**具有典型性**。以下是具体的判断依据：
## 一、案件典型性分析
### 1. **争议焦点具有普遍性**
从检索到的案例来看，您描述的案件涉及的核心争议与知识库中的典型案例高度一致：
- **灵活用工与工伤认定的矛盾**：快递公司以"灵活用工"为由拒绝认定工伤
- **劳动关系与工伤责任的关系**：是否存在劳动关系是否为工伤认定的前置条件
### 2. **法律适用问题具有代表性**
知识库中的案例（如案例3、案例4、案例5）都涉及类似的法律适用问题：
- 《最高人民法院关于审理工伤保险行政案件若干问题的规定》第三条第四款
- 用工单位违反法律规定将业务转包给不具备用工主体资格的组织或自然人
- 工伤认定不以存在真实劳动关系为前提的特殊情形处理
## 二、典型案例支撑
### 1. **核心法律依据**
根据案例4和案例5的裁判要旨：
&gt; "用工单位违反法律、法规规定将承包业务转包给不具备用工主体资格的组织或者自然人，该组织或者自然人聘用的职工从事承包业务时因工伤亡的，用工单位为承担工伤保险责任的单位。本条规定不以是否存在真实劳动关系为前提，这是对工伤保险条例将劳动关系作为工伤认定前提的一般规定之外的特殊情形处理。"
### 2. **司法实践中的争议**
案例3指出此类案件"实践中多发、高发，但各地法院认定不一"，存在"行民交叉案件的法律适用冲突，裁判迥异"的问题，这正说明了您描述的案件具有典型性。
### 3. **快递行业的特殊性**
虽然检索结果中没有直接针对快递员的案例，但快递行业普遍采用灵活用工模式，工伤认定问题在该行业尤为突出，这与知识库中案例反映的"转包关系下工伤认定"问题具有相同的法律本质。
## 三、判断结论
**该案件具有典型性**，理由如下：
1. **争议类型典型**：</t>
        </is>
      </c>
      <c r="O23" s="21" t="n">
        <v>5</v>
      </c>
      <c r="P23" s="14" t="n"/>
    </row>
    <row r="24" ht="60" customHeight="1">
      <c r="A24" s="2" t="inlineStr">
        <is>
          <t>Q23</t>
        </is>
      </c>
      <c r="B24" s="16" t="inlineStr">
        <is>
          <t>典型性判断</t>
        </is>
      </c>
      <c r="C24" s="2" t="inlineStr">
        <is>
          <t>请判断以下案件是否具有典型性：农村老人张某（78岁）的三个子女因赡养费分担问题发生纠纷，大儿子以'父亲偏心'为由拒绝赡养，村委会调解未果后申请法律援助。</t>
        </is>
      </c>
      <c r="D24" s="2" t="inlineStr">
        <is>
          <t>赡养纠纷，知识库中有类似案例</t>
        </is>
      </c>
      <c r="E24" s="2" t="inlineStr">
        <is>
          <t>结构化切块+Prompt</t>
        </is>
      </c>
      <c r="F24" s="14" t="n"/>
      <c r="G24" s="14" t="n"/>
      <c r="H24" s="14" t="n"/>
      <c r="I24" s="14" t="n"/>
      <c r="J24" s="14" t="n"/>
      <c r="K24" s="14" t="n"/>
      <c r="L24" s="20" t="inlineStr">
        <is>
          <t>根据已知信息，该案件具有典型性。理由如下：
1. **赡养纠纷的普遍性**：已知信息中，北京市密云区王某与三子女赡养纠纷案和无极县张某某与子女婚姻家庭纠纷调解案均涉及子女拒绝赡养老人、家庭冲突导致赡养问题，这与张某案件中的三个子女因赡养费分担纠纷、大儿子以“父亲偏心”为由拒绝赡养的情况高度相似。赡养纠纷是农村常见的社会问题，尤其当家庭内部存在矛盾（如偏心、财产分配不均）时，易引发子女间冲突。
2. **调解失败与法律援助的必要性**：张某某案例中，村委会、家族长辈多次调解未果，最终老人无法获得赡养；王某案例中，法律援助中心介入后，通过诉讼成功解决赡养问题。张某案件中的村委会调解未果后申请法律援助，反映了此类纠纷的典型解决路径，即基层调解失败后需司法介入。
3. **农村老人权益保护**：王某案例强调法律援助对维护老年人合法权益的作用，张某案件作为农村老人赡养纠纷，同样体现了法律援助在保障农村老年人经济供养、生活照料和精神慰藉方面的典型价值。
综上，该案件在纠纷起因（家庭冲突导致拒绝赡养）、调解过程（村委会未果）和解决方式（申请法律援助）等方面，与已知案例具有高度一致性，属于典型赡养纠纷案例。</t>
        </is>
      </c>
      <c r="M24" s="21" t="n">
        <v>4</v>
      </c>
      <c r="N24" s="20" t="inlineStr">
        <is>
          <t xml:space="preserve">
基于检索到的相关案例，我来分析您提出的案件是否具有典型性：
## 案件典型性分析
### 相似性对比
**您描述的案件特征：**
- 农村老人张某（78岁）
- 三个子女因赡养费分担问题发生纠纷
- 大儿子以"父亲偏心"为由拒绝赡养
- 村委会调解未果后申请法律援助
**检索到的典型案例：**
1. **无极县张某某与子女婚姻家庭纠纷调解案**
   - 农村老人张某某（80多岁）
   - 五个子女（两个女儿、三个儿子）
   - 儿子老五因家庭矛盾拒绝赡养老人十年
   - 涉及暴力冲突、长期不履行赡养义务
   - 通过村委会调解解决
2. **北京市密云区王某与三子女赡养纠纷法律援助案**
   - 老人王某（65岁）无经济收入，患多种疾病
   - 三个子女均有稳定工作和收入
   - 通过法律援助诉讼解决
   - 最终法院支持老人诉求
### 典型性判断
**✅ 具有高度典型性，理由如下：**
1. **案件类型典型**：农村老人赡养纠纷是当前司法实践中常见的家庭纠纷类型，与检索到的案例高度吻合。
2. **争议焦点典型**：
   - 子女间因赡养费分担产生纠纷
   - 以"父亲偏心"为由拒绝履行赡养义务
   - 村委会调解未果后寻求法律援助
3. **处理方式典型**：
   - 涉及基层调解（村委会）
   - 需要通过法律程序解决
   - 最终可能通过诉讼或调解达成和解
4. **社会背景典型**：
   - 农村地区老龄化问题突出
   - 家庭成员间矛盾积累
   - 老年人权益保障需求迫切
### 典型价值体现
1. **法律适用价值**：涉及《老年人权益保障法》《民法典》等相关法律条款的适用
2. **社会示范价值**：为处理类似农村赡养纠纷提供了参考模式
3. **调解经验价值**：展示了基层调解在化解</t>
        </is>
      </c>
      <c r="O24" s="21" t="n">
        <v>5</v>
      </c>
      <c r="P24" s="14" t="n"/>
    </row>
    <row r="25" ht="60" customHeight="1">
      <c r="A25" s="2" t="inlineStr">
        <is>
          <t>Q24</t>
        </is>
      </c>
      <c r="B25" s="16" t="inlineStr">
        <is>
          <t>典型性判断</t>
        </is>
      </c>
      <c r="C25" s="2" t="inlineStr">
        <is>
          <t>请判断以下案件是否具有典型性：某中学生在学校体育课上因设备老化导致骨折，学校以已购买校方责任险为由拒绝额外赔偿，家长申请调解。</t>
        </is>
      </c>
      <c r="D25" s="2" t="inlineStr">
        <is>
          <t>知识库中可能无匹配案例，测拒答能力</t>
        </is>
      </c>
      <c r="E25" s="2" t="inlineStr">
        <is>
          <t>结构化切块+Prompt</t>
        </is>
      </c>
      <c r="F25" s="14" t="n"/>
      <c r="G25" s="14" t="n"/>
      <c r="H25" s="14" t="n"/>
      <c r="I25" s="14" t="n"/>
      <c r="J25" s="14" t="n"/>
      <c r="K25" s="14" t="n"/>
      <c r="L25" s="20" t="inlineStr">
        <is>
          <t>根据已知信息，该案件具有典型性。理由如下：
在已知信息中，山东省济宁市梁山县法律援助中心对未成年人马某健康权纠纷法律援助案（案件情况）描述了类似情形：未成年人在学校摔倒受伤，学校拒绝赔偿，但承办律师指出学校应承担过错推定责任，并利用学校购买的意外保险，最终通过调解达成赔偿协议。该案例体现了学校责任纠纷、保险赔偿机制以及调解解决的典型模式。
用户提供的案件（中学生因设备老化在学校体育课受伤，学校以校方责任险为由拒绝赔偿，家长申请调解）与上述案例高度相似，均涉及学校场所、未成年人健康权、保险抗辩和调解解决，符合法律援助典型案例的特征。</t>
        </is>
      </c>
      <c r="M25" s="21" t="n">
        <v>4</v>
      </c>
      <c r="N25" s="20" t="inlineStr">
        <is>
          <t xml:space="preserve">
基于检索到的相关案例，我来分析您提出的案件是否具有典型性：
## 案件典型性分析
### 相似度分析
**相似案例：**
1. **温州市鹿城区幼儿园体育课伤害案** - 学生在体育课踩空木桩受伤，家长要求高额赔偿，最终通过人民调解解决
2. **济宁市梁山县学生健康权纠纷案** - 学生在学校下台阶摔倒受伤，学校以学生自身过错为由拒绝赔偿，涉及保险赔偿问题
### 典型性判断
**✅ 具有高度典型性，理由如下：**
#### 1. **场景典型性**
- 学校体育课是学生伤害事故的高发场景
- 设备老化导致的安全隐患在学校中普遍存在
- 中学生群体在学校安全事故中占比较高
#### 2. **争议焦点典型性**
- **责任认定争议**：学校是否因设备老化未尽到安全管理义务
- **保险赔偿争议**：学校以"已购买校方责任险"为由拒绝额外赔偿，这是教育纠纷中的常见抗辩理由
- **赔偿标准争议**：医疗费、后续治疗费、精神损害赔偿等赔偿项目的确定
#### 3. **处理方式典型性**
- **调解程序**：家长申请调解是此类纠纷的常见解决途径
- **法律援助介入**：经济困难家庭可能寻求法律援助
- **多方责任主体**：涉及学校、保险公司、家长等多方责任主体
#### 4. **法律适用典型性**
- 涉及《民法典》中教育机构责任条款
- 涉及侵权责任认定和过错责任原则
- 涉及保险合同与侵权责任的竞合问题
### 典型价值体现
1. **教育管理警示**：提醒学校加强设施设备安全管理
2. **保险制度完善**：推动校方责任险制度的完善和规范
3. **纠纷解决机制**：为类似案件提供调解和处理的参考模式
4. **法律适用指导**：明确学校安全保障义务的边界和责任范围
### 结论
该案件**具有很高的典型性**，涵盖了校园安全事故中</t>
        </is>
      </c>
      <c r="O25" s="21" t="n">
        <v>5</v>
      </c>
      <c r="P25" s="14" t="n"/>
    </row>
    <row r="26" ht="60" customHeight="1">
      <c r="A26" s="2" t="inlineStr">
        <is>
          <t>Q25</t>
        </is>
      </c>
      <c r="B26" s="17" t="inlineStr">
        <is>
          <t>抗干扰</t>
        </is>
      </c>
      <c r="C26" s="2" t="inlineStr">
        <is>
          <t>有没有涉及加密货币诈骗的典型司法案例？</t>
        </is>
      </c>
      <c r="D26" s="2" t="inlineStr">
        <is>
          <t>知识库无此内容</t>
        </is>
      </c>
      <c r="E26" s="2" t="inlineStr">
        <is>
          <t>Prompt约束</t>
        </is>
      </c>
      <c r="F26" s="14" t="n"/>
      <c r="G26" s="14" t="n"/>
      <c r="H26" s="14" t="n"/>
      <c r="I26" s="14" t="n"/>
      <c r="J26" s="14" t="n"/>
      <c r="K26" s="14" t="n"/>
      <c r="L26" s="20" t="inlineStr">
        <is>
          <t>根据已知信息无法回答该问题。</t>
        </is>
      </c>
      <c r="M26" s="21" t="n">
        <v>5</v>
      </c>
      <c r="N26" s="20" t="inlineStr">
        <is>
          <t xml:space="preserve">
根据检索结果，我目前没有找到明确涉及加密货币诈骗的典型司法案例。检索到的案例主要包括：
1. **邮币卡电子交易投资纠纷**（案例1）：涉及邮币卡电子交易市场的委托投资合同，虽然涉及电子交易，但属于传统的邮币卡投资，不是加密货币。
2. **传统诈骗罪案例**（案例2）：谢某某利用疫情期间口罩需求进行诈骗，属于传统诈骗手段。
3. **电信诈骗案例**（案例3）：涉及"XX大宗交易"平台上的虚拟货物交易，可能涉及某种虚拟资产，但未明确提及加密货币。
4. **集资诈骗案例**（案例4、5）：传统的集资诈骗案件，主要涉及房地产、通讯公司等传统领域的非法集资。
**建议**：
如果您需要了解加密货币诈骗相关的法律问题，可能需要：
1. 查询更具体的"虚拟货币诈骗"、"区块链诈骗"等关键词
2. 关注近年来新出现的数字货币相关犯罪案例
3. 参考相关法律法规对虚拟货币交易的规定
您是否希望我尝试用其他关键词进行检索，或者您有其他具体的法律问题需要咨询？</t>
        </is>
      </c>
      <c r="O26" s="21" t="n">
        <v>3</v>
      </c>
      <c r="P26" s="14" t="n"/>
    </row>
    <row r="27" ht="60" customHeight="1">
      <c r="A27" s="2" t="inlineStr">
        <is>
          <t>Q26</t>
        </is>
      </c>
      <c r="B27" s="17" t="inlineStr">
        <is>
          <t>抗干扰</t>
        </is>
      </c>
      <c r="C27" s="2" t="inlineStr">
        <is>
          <t>特斯拉汽车质量纠纷有没有典型调解案例？</t>
        </is>
      </c>
      <c r="D27" s="2" t="inlineStr">
        <is>
          <t>知识库无此内容</t>
        </is>
      </c>
      <c r="E27" s="2" t="inlineStr">
        <is>
          <t>Prompt约束</t>
        </is>
      </c>
      <c r="F27" s="14" t="n"/>
      <c r="G27" s="14" t="n"/>
      <c r="H27" s="14" t="n"/>
      <c r="I27" s="14" t="n"/>
      <c r="J27" s="14" t="n"/>
      <c r="K27" s="14" t="n"/>
      <c r="L27" s="20" t="inlineStr">
        <is>
          <t>根据已知信息无法回答该问题。</t>
        </is>
      </c>
      <c r="M27" s="21" t="n">
        <v>5</v>
      </c>
      <c r="N27" s="20" t="inlineStr">
        <is>
          <t xml:space="preserve">
根据检索结果，我在知识库中没有找到专门针对特斯拉汽车质量纠纷的典型调解案例。
检索到的汽车相关调解案例主要包括：
1. **某汽车品牌销售欺诈纠纷调解案**（广州市海珠区）
   - 涉及销售顾问伪造公章收取购车款
   - 争议焦点在于表见代理的认定
   - 通过人民调解委员会成功调解
2. **汽车工伤事故赔偿调解案**（西安市灞桥区）
   - 涉及工作期间发生的工伤事故
   - 调解员参照工伤认定书和劳动能力鉴定结论进行调解
   - 最终达成30万元赔偿协议
如果您需要了解特斯拉汽车质量纠纷的相关案例，建议您：
1. 提供更具体的关键词进行检索
2. 或者关注其他汽车质量纠纷的调解案例作为参考
您是否需要我为您检索其他类型的汽车质量纠纷案例，或者有其他具体的需求？</t>
        </is>
      </c>
      <c r="O27" s="21" t="n">
        <v>5</v>
      </c>
      <c r="P27" s="14" t="n"/>
    </row>
    <row r="28" ht="60" customHeight="1">
      <c r="A28" s="2" t="inlineStr">
        <is>
          <t>Q27</t>
        </is>
      </c>
      <c r="B28" s="17" t="inlineStr">
        <is>
          <t>抗干扰</t>
        </is>
      </c>
      <c r="C28" s="2" t="inlineStr">
        <is>
          <t>网络主播因直播内容违规被平台封号，有哪些维权典型案例？</t>
        </is>
      </c>
      <c r="D28" s="2" t="inlineStr">
        <is>
          <t>知识库无此内容</t>
        </is>
      </c>
      <c r="E28" s="2" t="inlineStr">
        <is>
          <t>Prompt约束</t>
        </is>
      </c>
      <c r="F28" s="14" t="n"/>
      <c r="G28" s="14" t="n"/>
      <c r="H28" s="14" t="n"/>
      <c r="I28" s="14" t="n"/>
      <c r="J28" s="14" t="n"/>
      <c r="K28" s="14" t="n"/>
      <c r="L28" s="20" t="inlineStr">
        <is>
          <t>根据已知信息，无法回答该问题。</t>
        </is>
      </c>
      <c r="M28" s="21" t="n">
        <v>5</v>
      </c>
      <c r="N28" s="20" t="inlineStr">
        <is>
          <t xml:space="preserve">
根据我对司法典型案例知识库的检索，目前没有找到直接关于"网络主播因直播内容违规被平台封号"的典型案例。检索到的相关案例主要集中在以下几个方面：
## 检索到的相关案例类型
### 1. **主播跳槽/违约纠纷**
- **青岛仲裁委员会案例**：主播在合约期内跳槽到第三方平台，被平台要求支付200万元违约金
- **日照仲裁委员会案例**：主播单方终止合作协议，擅自到第三方平台直播，被要求支付50万元违约金
### 2. **未成年人打赏纠纷**
- **宁波调解案例**：未成年人通过直播平台打赏近5万元，通过调解成功追回款项
### 3. **证据保全案例**
- **公证案例**：公司对未经授权在第三方平台直播的主播进行证据保全
## 分析说明
从现有案例来看，网络直播领域的纠纷主要集中在：
- **合同违约**：主播违反独家合作协议
- **未成年人保护**：未成年人打赏问题
- **证据固定**：为诉讼进行的证据保全
**关于"直播内容违规被封号"的维权案例，在当前知识库中暂未找到相关典型案例。** 这可能是因为：
1. 此类纠纷相对较少
2. 案例尚未被收录到知识库中
3. 更多通过平台内部机制解决，未进入司法程序
如果您需要了解相关法律问题，建议关注《网络表演经营活动管理办法》、《互联网直播服务管理规定》等法规对直播内容违规的具体规定。</t>
        </is>
      </c>
      <c r="O28" s="21" t="n">
        <v>4</v>
      </c>
      <c r="P28" s="14" t="n"/>
    </row>
    <row r="29" ht="60" customHeight="1">
      <c r="A29" s="2" t="inlineStr">
        <is>
          <t>Q28</t>
        </is>
      </c>
      <c r="B29" s="17" t="inlineStr">
        <is>
          <t>抗干扰</t>
        </is>
      </c>
      <c r="C29" s="2" t="inlineStr">
        <is>
          <t>跨国婚姻纠纷中涉及外籍人士的典型调解案例有哪些？</t>
        </is>
      </c>
      <c r="D29" s="2" t="inlineStr">
        <is>
          <t>知识库无此内容</t>
        </is>
      </c>
      <c r="E29" s="2" t="inlineStr">
        <is>
          <t>Prompt约束</t>
        </is>
      </c>
      <c r="F29" s="14" t="n"/>
      <c r="G29" s="14" t="n"/>
      <c r="H29" s="14" t="n"/>
      <c r="I29" s="14" t="n"/>
      <c r="J29" s="14" t="n"/>
      <c r="K29" s="14" t="n"/>
      <c r="L29" s="20" t="inlineStr">
        <is>
          <t>根据已知信息无法回答该问题。</t>
        </is>
      </c>
      <c r="M29" s="21" t="n">
        <v>5</v>
      </c>
      <c r="N29" s="20" t="inlineStr">
        <is>
          <t xml:space="preserve">
根据检索结果，我在知识库中没有找到真正涉及跨国婚姻纠纷中外籍人士的典型调解案例。检索到的案例主要包括：
1. **普通婚姻家庭纠纷案例**：
   - 重庆市九龙坡区高某与秦某夫妇婚姻家庭纠纷调解案
   - 行唐县范某与宇某乙家庭婚姻纠纷调解案  
   - 胶州市王某与赵某某婚姻家庭纠纷调解案
   - 李某某诉刘某某夫妻间扶养关系纠纷案
2. **涉外但非婚姻纠纷案例**：
   - 某外籍公民对中国公民的合同纠纷仲裁案（涉及出口管制，但属于合同纠纷而非婚姻纠纷）
**分析结论**：
目前知识库中缺乏专门针对跨国婚姻纠纷中涉及外籍人士的调解案例。这类案件通常涉及：
- 跨国婚姻的法律适用问题
- 外籍人士在华婚姻权利义务
- 跨国离婚的财产分割和子女抚养
- 涉外婚姻调解的特殊程序和技巧
如果您需要了解跨国婚姻纠纷的相关法律条文，我可以帮您查询《涉外民事关系法律适用法》等相关法规。或者如果您有其他具体的涉外婚姻法律问题，请告诉我，我可以尝试从不同角度进行检索。</t>
        </is>
      </c>
      <c r="O29" s="21" t="n">
        <v>5</v>
      </c>
      <c r="P29" s="14" t="n"/>
    </row>
    <row r="30" ht="60" customHeight="1">
      <c r="A30" s="2" t="inlineStr">
        <is>
          <t>Q29</t>
        </is>
      </c>
      <c r="B30" s="17" t="inlineStr">
        <is>
          <t>抗干扰</t>
        </is>
      </c>
      <c r="C30" s="2" t="inlineStr">
        <is>
          <t>人工智能侵权的典型司法案例有哪些？</t>
        </is>
      </c>
      <c r="D30" s="2" t="inlineStr">
        <is>
          <t>知识库无此内容</t>
        </is>
      </c>
      <c r="E30" s="2" t="inlineStr">
        <is>
          <t>Prompt约束</t>
        </is>
      </c>
      <c r="F30" s="14" t="n"/>
      <c r="G30" s="14" t="n"/>
      <c r="H30" s="14" t="n"/>
      <c r="I30" s="14" t="n"/>
      <c r="J30" s="14" t="n"/>
      <c r="K30" s="14" t="n"/>
      <c r="L30" s="20" t="inlineStr">
        <is>
          <t>根据已知信息无法回答该问题。</t>
        </is>
      </c>
      <c r="M30" s="21" t="n">
        <v>5</v>
      </c>
      <c r="N30" s="20" t="inlineStr">
        <is>
          <t xml:space="preserve">
根据我对司法典型案例知识库的检索，目前关于"人工智能侵权"的典型司法案例相对较少，现有案例主要集中在人工智能技术在法律服务领域的应用，而非传统意义上的人工智能作为侵权主体的案例。以下是检索到的相关案例：
## 现有相关案例
### 1. **西藏自治区"法治西藏 '1+N'智慧移动普法云平台"案例**
- **案例类型**：法治创建案例
- **主要内容**：该平台运用大数据、人工智能及互联网创新应用技术，以智慧普法为核心立意
- **人工智能应用**：
  - 智能法律咨询
  - 文书智能生成
  - 律师智能匹配
  - 案例智能推送（热点推送、大数据分析相关相似案例推送）
  - 费用智能计算
### 2. **日喀则市智能普法机器人"小扎"案例**
- **创新模式**：实现了"人工智能+公共法律服务+普法宣传"的模式创新
- **服务内容**：藏语语音宣传、法律知识查询和法律服务办理
- **特点**：为群众提供更加人性化的交互式专业法律服务
### 3. **聊城市"智慧普法"平台案例**
- **技术支撑**：依托互联网+人工智能、大数据、云计算等技术
- **功能**：打造网上法律服务超市，收录803部法律，1111部行政法规，22791部地方性法规
- **效果**：让广大企业职工足不出户就可享受方便快捷的法律服务
## 案例特点分析
从现有案例来看，人工智能在司法领域的应用主要体现在：
1. **法律服务智能化**：通过AI技术提供法律咨询、文书生成等服务
2. **普法方式创新**：利用AI技术增强普法工作的吸引力和实效性
3. **资源优化配置**：通过AI技术解决法律服务资源不均衡问题
4. **决策辅助功能**：通过数据分析为法治工作提供决策支持
## 说明
需要说明的是，目前知识库中尚未收录传统意义上的人工智能侵权司法案例</t>
        </is>
      </c>
      <c r="O30" s="21" t="n">
        <v>4</v>
      </c>
      <c r="P30" s="14" t="n"/>
    </row>
    <row r="31" ht="60" customHeight="1">
      <c r="A31" s="2" t="inlineStr">
        <is>
          <t>Q30</t>
        </is>
      </c>
      <c r="B31" s="17" t="inlineStr">
        <is>
          <t>抗干扰</t>
        </is>
      </c>
      <c r="C31" s="2" t="inlineStr">
        <is>
          <t>有没有涉及区块链智能合约纠纷的典型案例？</t>
        </is>
      </c>
      <c r="D31" s="2" t="inlineStr">
        <is>
          <t>知识库无此内容</t>
        </is>
      </c>
      <c r="E31" s="2" t="inlineStr">
        <is>
          <t>Prompt约束</t>
        </is>
      </c>
      <c r="F31" s="14" t="n"/>
      <c r="G31" s="14" t="n"/>
      <c r="H31" s="14" t="n"/>
      <c r="I31" s="14" t="n"/>
      <c r="J31" s="14" t="n"/>
      <c r="K31" s="14" t="n"/>
      <c r="L31" s="20" t="inlineStr">
        <is>
          <t>根据已知信息无法回答该问题。</t>
        </is>
      </c>
      <c r="M31" s="21" t="n">
        <v>5</v>
      </c>
      <c r="N31" s="20" t="inlineStr">
        <is>
          <t xml:space="preserve">
根据检索结果，我在知识库中没有找到涉及区块链智能合约纠纷的典型案例。
检索到的案例主要包括：
1. **网络直播平台监管纠纷** - 涉及直播平台对主播的管理责任
2. **经纪及直播合作合同纠纷** - 分析了网络主播与经纪公司的合同性质
3. **健身服务协议纠纷** - 会员卡退款和合同履行问题
4. **人身意外伤害保险合同理赔纠纷** - 保险合同格式条款和免责条款争议
5. **网格化治理相关内容** - 基层社会治理和矛盾纠纷化解
这些案例都没有涉及区块链智能合约相关的内容。区块链智能合约纠纷通常涉及智能代码执行、去中心化自治组织(DAO)、代币发行、智能合约漏洞等技术性法律问题，目前知识库中似乎缺乏此类典型案例。
如果您需要了解区块链智能合约相关的法律问题，可能需要查阅其他专门的法律数据库或文献资料。</t>
        </is>
      </c>
      <c r="O31" s="21" t="n">
        <v>5</v>
      </c>
      <c r="P31" s="14" t="n"/>
    </row>
    <row r="32" ht="60" customHeight="1">
      <c r="A32" s="2" t="inlineStr">
        <is>
          <t>Q31</t>
        </is>
      </c>
      <c r="B32" s="17" t="inlineStr">
        <is>
          <t>抗干扰</t>
        </is>
      </c>
      <c r="C32" s="2" t="inlineStr">
        <is>
          <t>请分析知识库中所有案例的平均赔偿金额是多少？</t>
        </is>
      </c>
      <c r="D32" s="2" t="inlineStr">
        <is>
          <t>需统计计算，系统无法精确完成</t>
        </is>
      </c>
      <c r="E32" s="2" t="inlineStr">
        <is>
          <t>Prompt约束</t>
        </is>
      </c>
      <c r="F32" s="14" t="n"/>
      <c r="G32" s="14" t="n"/>
      <c r="H32" s="14" t="n"/>
      <c r="I32" s="14" t="n"/>
      <c r="J32" s="14" t="n"/>
      <c r="K32" s="14" t="n"/>
      <c r="L32" s="20" t="inlineStr">
        <is>
          <t>根据已知信息，知识库中包含五个案例，但只有两个案例提供了具体的赔偿金额数据：
- 佛山市南海区李某某家属与某公司劳动争议纠纷调解案：赔偿金额为110万元。
- 宁夏回族自治区银川市西夏区法律援助中心对王某工伤待遇赔偿提供法律援助案：赔偿金额为16.8万元。
其他三个案例（违法解除劳动合同以案释法案例、从快递公司全额赔偿案看快件损毁的赔偿规则、对成瘾者开展认知行为重构“平衡健康生活”教学案例）未涉及任何赔偿金额数据。
由于只有部分案例提供赔偿金额，且数据不完整，无法计算所有案例的平均赔偿金额。因此，根据已知信息无法回答该问题。</t>
        </is>
      </c>
      <c r="M32" s="21" t="n">
        <v>4</v>
      </c>
      <c r="N32" s="20" t="inlineStr">
        <is>
          <t xml:space="preserve">
根据检索到的案例，我提取了以下赔偿金额信息：
## 案例赔偿金额汇总
1. **三门县方某甲家属与某公司损害赔偿纠纷调解案**
   - 赔偿金额：118万元
2. **文山市余某某等人与某建设项目施工方损害赔偿纠纷调解案**
   - 赔偿金额：41,430元（约4.14万元）
3. **宁夏回族自治区银川市西夏区法律援助中心对王某工伤待遇赔偿提供法律援助案**
   - 最终赔偿金额：16.8万元
4. **佛山市南海区李某某家属与某公司劳动争议纠纷调解案**
   - 赔偿金额：110万元
## 平均赔偿金额计算
**总赔偿金额**：118万 + 4.14万 + 16.8万 + 110万 = 248.94万元
**案例数量**：4个
**平均赔偿金额**：248.94万元 ÷ 4 = **62.24万元**
## 分析结论
知识库中所有案例的平均赔偿金额为**62.24万元**。
从数据可以看出，赔偿金额差异较大：
- 最高赔偿金额：118万元（生产事故死亡赔偿）
- 最低赔偿金额：4.14万元（农作物损失赔偿）
- 赔偿金额主要受案件性质、损害程度、地区差异等因素影响
其中，涉及人身伤亡的赔偿金额普遍较高（均在110万元以上），而财产损失类的赔偿金额相对较低。</t>
        </is>
      </c>
      <c r="O32" s="21" t="n">
        <v>3</v>
      </c>
      <c r="P32" s="14" t="n"/>
    </row>
    <row r="33" ht="60" customHeight="1">
      <c r="A33" s="2" t="inlineStr">
        <is>
          <t>Q32</t>
        </is>
      </c>
      <c r="B33" s="17" t="inlineStr">
        <is>
          <t>抗干扰</t>
        </is>
      </c>
      <c r="C33" s="2" t="inlineStr">
        <is>
          <t>最高人民法院2024年发布的最新司法解释有哪些？</t>
        </is>
      </c>
      <c r="D33" s="2" t="inlineStr">
        <is>
          <t>超出知识库范围的时效性问题</t>
        </is>
      </c>
      <c r="E33" s="2" t="inlineStr">
        <is>
          <t>Prompt约束</t>
        </is>
      </c>
      <c r="F33" s="14" t="n"/>
      <c r="G33" s="14" t="n"/>
      <c r="H33" s="14" t="n"/>
      <c r="I33" s="14" t="n"/>
      <c r="J33" s="14" t="n"/>
      <c r="K33" s="14" t="n"/>
      <c r="L33" s="20" t="inlineStr">
        <is>
          <t>根据已知信息无法回答该问题。</t>
        </is>
      </c>
      <c r="M33" s="21" t="n">
        <v>5</v>
      </c>
      <c r="N33" s="20" t="inlineStr">
        <is>
          <t xml:space="preserve">
根据我对司法典型案例知识库的检索，目前没有找到最高人民法院2024年发布的最新司法解释的具体信息。
从检索结果中，我主要看到了一些历史性的司法解释，包括：
1. **《最高人民法院关于适用&lt;中华人民共和国合同法&gt;若干问题的解释（二）》** - 涉及情势变更原则的适用
2. **《最高人民法院关于适用&lt;中华人民共和国仲裁法&gt;若干问题的解释》** - 涉及仲裁程序违法的认定标准
3. **《最高人民法院关于审理城镇房屋租赁合同纠纷案件具体应用法律若干问题的解释》（法释[2009]11号）** - 关于房屋租赁合同转租规则的规定
这些都不是2024年发布的最新司法解释。如果您需要了解2024年最高人民法院的最新司法解释，建议您：
1. 查阅最高人民法院官方网站
2. 关注最高人民法院发布的年度司法解释目录
3. 查阅权威法律数据库或法律期刊
如果您有其他具体的法律问题需要查询，我很乐意为您提供帮助。</t>
        </is>
      </c>
      <c r="O33" s="21" t="n">
        <v>4</v>
      </c>
      <c r="P33" s="14" t="n"/>
    </row>
    <row r="34" ht="60" customHeight="1">
      <c r="A34" s="2" t="inlineStr">
        <is>
          <t>Q33</t>
        </is>
      </c>
      <c r="B34" s="18" t="inlineStr">
        <is>
          <t>多步推理</t>
        </is>
      </c>
      <c r="C34" s="2" t="inlineStr">
        <is>
          <t>对比农民工工伤赔偿和交通事故赔偿两类案例在赔偿标准上的差异。</t>
        </is>
      </c>
      <c r="D34" s="2" t="inlineStr">
        <is>
          <t>多次检索+摘要+对比分析</t>
        </is>
      </c>
      <c r="E34" s="2" t="inlineStr">
        <is>
          <t>Agent(LangGraph)</t>
        </is>
      </c>
      <c r="F34" s="14" t="n"/>
      <c r="G34" s="14" t="n"/>
      <c r="H34" s="14" t="n"/>
      <c r="I34" s="14" t="n"/>
      <c r="J34" s="14" t="n"/>
      <c r="K34" s="14" t="n"/>
      <c r="L34" s="20" t="inlineStr">
        <is>
          <t>根据已知信息，对比农民工工伤赔偿和交通事故赔偿两类案例在赔偿标准上的差异，主要基于提供的案例内容。差异主要体现在法律依据、赔偿项目、计算方式、支付方式以及金额范围等方面。以下分析基于案例中具体信息，不添加编造成分。
### 1. **法律依据**
   - **农民工工伤赔偿**：主要依据《社会保险法》和行业特别规定（如建筑业的人社部发〔2014〕103号文）。赔偿标准强调用人单位责任，旨在保障劳动者权益，尤其针对农民工群体有特殊参保政策（如按项目参保）。例如，在王某案例中，赔偿基于《社会保险法》和工伤认定标准，用人单位需支付法定工伤待遇。
   - **交通事故赔偿**：主要依据《道路交通安全法》和侵权责任法。赔偿标准基于侵权人责任和保险合同，强调对实际损失的弥补，受责任比例、保险限额等因素影响。例如，在</t>
        </is>
      </c>
      <c r="M34" s="21" t="n">
        <v>3</v>
      </c>
      <c r="N34" s="20" t="inlineStr">
        <is>
          <t xml:space="preserve">
基于对农民工工伤赔偿和交通事故赔偿案例的分析，以下是两类赔偿在赔偿标准上的主要差异：
## 一、法律依据与性质差异
### 工伤赔偿
- **法律依据**：《工伤保险条例》
- **性质**：社会保险性质，具有强制性、法定性
- **责任主体**：用人单位和工伤保险基金
- **赔偿原则**：无过错责任原则，只要认定为工伤即可获得赔偿
### 交通事故赔偿
- **法律依据**：《道路交通安全法》《民法典》
- **性质**：民事侵权赔偿，具有补偿性
- **责任主体**：肇事方、车主、保险公司等
- **赔偿原则**：过错责任原则，按责任比例承担赔偿责任
## 二、赔偿项目与计算标准差异
### 工伤赔偿标准
1. **法定化程度高**：赔偿项目和标准由《工伤保险条例》明确规定
2. **主要项目**：
   - 医疗费、康复费
   - 一次性伤残补助金（根据伤残等级）
   - 工亡补助金（全国统一标准）
   - 丧葬补助金
   - 供养亲属抚恤金
3. **计算特点**：全国统一标准，与当地经济发展水平关联度较低
### 交通事故赔偿标准
1. **多元化程度高**：赔偿项目根据实际情况确定
2. **主要项目**：
   - 死亡赔偿金（按当地人均可支配收入计算）
   - 丧葬费
   - 被抚养人生活费
   - 精神损害赔偿
   - 医疗费、误工费等
3. **计算特点**：与当地经济发展水平、受害人收入等因素密切相关
## 三、赔偿金额差异
### 工伤赔偿案例
- **詹某案例**：工亡赔偿主要依据法定标准，由工伤保险基金支付
- **江某清案例**：通过调解获得17.36万元赔偿，加上工伤保险待遇总计可达21-22万元，突破了法定标准的一次性伤残就业补助金（仅10%）的限制
### 交通事故赔偿案例
- **连云港五人死亡案例</t>
        </is>
      </c>
      <c r="O34" s="21" t="n">
        <v>5</v>
      </c>
      <c r="P34" s="14" t="n"/>
    </row>
    <row r="35" ht="60" customHeight="1">
      <c r="A35" s="2" t="inlineStr">
        <is>
          <t>Q34</t>
        </is>
      </c>
      <c r="B35" s="18" t="inlineStr">
        <is>
          <t>多步推理</t>
        </is>
      </c>
      <c r="C35" s="2" t="inlineStr">
        <is>
          <t>检索所有涉及未成年人权益保护的案例，总结法律援助介入的共同模式。</t>
        </is>
      </c>
      <c r="D35" s="2" t="inlineStr">
        <is>
          <t>检索+多案例摘要+归纳总结</t>
        </is>
      </c>
      <c r="E35" s="2" t="inlineStr">
        <is>
          <t>Agent(LangGraph)</t>
        </is>
      </c>
      <c r="F35" s="14" t="n"/>
      <c r="G35" s="14" t="n"/>
      <c r="H35" s="14" t="n"/>
      <c r="I35" s="14" t="n"/>
      <c r="J35" s="14" t="n"/>
      <c r="K35" s="14" t="n"/>
      <c r="L35" s="20" t="inlineStr">
        <is>
          <t>根据已知信息，所有涉及未成年人权益保护的案例中，法律援助介入的共同模式可总结如下：
1. **申请与受理**：未成年人或其监护人因权益受损（如家庭暴力、健康权侵害、交通事故、刑事指控等）申请法律援助，法律援助中心审查条件（如未成年人身份、家庭经济困难），快速受理案件。例如，案例1中，受援人遭受家庭暴力，中心以代理人身安全保护令为由及时受理；案例2和案例5中，受援人家庭贫困，中心确认条件后指派律师。
2. **指派律师**：法律援助中心指派专业律师承办案件，律师负责具体法律事务，包括证据收集、案情分析和策略制定。例如，案例2和案例5中，中心指派律师处理健康权纠纷；案例4中，律师为涉嫌盗窃的未成年人提供辩护。
3. **律师行动**：律师采取以下措施：
   - **证据收集与分析**：通过调取医疗记录、询问证人、固定证据等方式，明确责任。例如，案例2和案例5中，律师收集医院证据和学校证明，分析责任划分。
   - **沟通与调解**：与相关方（如学校、保险公司、检察机关）沟通，尝试达成调解协议。例如，案例2和案例5中，律师与学校、保险公司沟通，促成赔偿调解；案例1中，律师推动多部门联动。
   - **法律策略应用**：针对未成年人案件特点，运用法律原则（如过错推定责任、保险理赔、刑事辩护中的教育挽救）。例如，案例2中，律师指出学校应承担过错推定责任；案例4中，律师指导未成年嫌疑人，避免公诉或减轻责任。
4. **解决方案**：通过调解、诉讼或保护令等方式，维护未成年人权益。例如：
   - 调解协议：案例2和案例5中，达成赔偿协议（如保险公司支付8500元）。
   - 保护措施：案例1中，通过人身安全保护令制止家庭暴力。
   - 刑事处理：案例4中，与检察机关沟通，达成理想结果（如避免公诉或减轻处罚）。
5. **多部门联动**：法律援助中心与司法行政机关、妇</t>
        </is>
      </c>
      <c r="M35" s="21" t="n">
        <v>3</v>
      </c>
      <c r="N35" s="20" t="inlineStr">
        <is>
          <t xml:space="preserve">
基于检索到的5个涉及未成年人权益保护的典型案例，我总结了法律援助介入的共同模式如下：
## 法律援助介入未成年人权益保护案例的共同模式
### 1. **案件类型多样化**
- **民事赔偿类**：溺水死亡纠纷、健康权纠纷、交通事故赔偿
- **刑事辩护类**：未成年人涉嫌盗窃罪
- **人身保护类**：申请人身安全保护令
- **抚养费纠纷**：案例2中提及的抚养费纠纷
### 2. **法律援助机构主动介入机制**
- **主动受理**：法律援助中心根据未成年人案件特点主动受理
- **降低门槛**：案例4特别建议针对未成年人案件特点调整降低法律援助门槛
- **及时响应**：案例5中紧急情况下及时受理人身保护令申请
### 3. **专业法律指导与代理**
- **法律意见提供**：承办律师提供专业法律分析和代理意见
- **策略性诉讼**：案例3中策略性地将保险公司列为赔偿责任人
- **权利保障**：确保未成年人在诉讼过程中的合法权益得到充分保障
### 4. **多部门协作联动模式**
- **司法行政机关协作**：案例5中司法行政机关、妇联和法院联动
- **检察机关沟通**：案例2中法律援助中心与检察机关积极沟通
- **社会力量参与**：体现全社会关爱未成年人成长的理念
### 5. **调解优先的解决方式**
- **调解结案**：案例1、案例3通过调解方式解决纠纷
- **效果显著**：调解既维护了当事人权益，又节约了司法资源
- **考虑未成年人身心健康**：优先考虑未成年人的身心健康发展
### 6. **未成年人特殊保护原则**
- **特殊保护视角**：所有案例都体现了对未成年人的特殊保护
- **儿童保护敏感性**：案例5特别强调儿童保护敏感性和视角
- **未来成长考量**：案例4中考虑未成年人对未来人生的影响
### 7</t>
        </is>
      </c>
      <c r="O35" s="21" t="n">
        <v>5</v>
      </c>
      <c r="P35" s="14" t="n"/>
    </row>
    <row r="36" ht="60" customHeight="1">
      <c r="A36" s="2" t="inlineStr">
        <is>
          <t>Q35</t>
        </is>
      </c>
      <c r="B36" s="18" t="inlineStr">
        <is>
          <t>多步推理</t>
        </is>
      </c>
      <c r="C36" s="2" t="inlineStr">
        <is>
          <t>找一个农民工讨薪案例和一个工伤赔偿案例，对比两种维权路径的成本和效率。</t>
        </is>
      </c>
      <c r="D36" s="2" t="inlineStr">
        <is>
          <t>定向检索+摘要+多维度对比</t>
        </is>
      </c>
      <c r="E36" s="2" t="inlineStr">
        <is>
          <t>Agent(LangGraph)</t>
        </is>
      </c>
      <c r="F36" s="14" t="n"/>
      <c r="G36" s="14" t="n"/>
      <c r="H36" s="14" t="n"/>
      <c r="I36" s="14" t="n"/>
      <c r="J36" s="14" t="n"/>
      <c r="K36" s="14" t="n"/>
      <c r="L36" s="20" t="inlineStr">
        <is>
          <t>根据已知信息，选择以下两个案例进行对比分析：
- **农民工讨薪案例**：浙江省台州市天台县法律援助中心对巴某等31人追索劳动报酬纠纷案提供法律援助案。
- **工伤赔偿案例**：建筑业农民工工伤保险赔偿案件（詹某案）。
### 维权路径成本对比
- **讨薪案例**：维权成本较低。法律援助中心创新“全程代理制”，主动降低受援人的维权成本，包括减少路途奔波和直接经济负担。案例中提到，该举措使农民工“少跑三万里”，显著降低了时间、金钱和精力成本。
- **工伤案例**：维权成本较高。维权路径涉及复杂的法律程序，如仲裁、诉讼等（例如，詹某案中参保单位与用人单位不一致，需通过司法争议解决）。案例中，覃某的工伤赔偿案例经历“二裁二诉四个程序”，耗时一年多，增加了时间、金钱（如律师费、诉讼费）和精力成本。
### 维权路径效率对比
- **讨薪案例**：维权效率较高。法律援助中心通过创新举措（如全程代理）和快速调解，使案件在较短时间内结案。案例中，农民工通过电话、微信留言表示感激，体现了维权过程高效、结果迅速达成。
- **工伤案例**：维权效率较低。维权路径涉及多级法律程序（如工伤认定、仲裁、诉讼），处理周期长。例如，詹某案中需通过二审法院改判才解决争议，覃某案耗时一年多，效率相对较低，但最终结果公正。
### 总结
- **成本**：讨薪案例因法律援助创新举措，成本显著低于工伤案例；工伤案例因程序复杂，成本较高。
- **效率**：讨薪案例通过调解快速结案，效率较高；工伤案例因多级程序，效率较低，但保障了权益的最终实现。  
（注：以上对比基于已知信息，未添加编造成分。）</t>
        </is>
      </c>
      <c r="M36" s="21" t="n">
        <v>3</v>
      </c>
      <c r="N36" s="20" t="inlineStr">
        <is>
          <t xml:space="preserve">
基于检索到的典型案例，我为您对比分析农民工讨薪和工伤赔偿两种维权路径的成本和效率：
## 一、案例基本情况
### 农民工讨薪案例（日照市莒县刘某等案）
- **案件背景**：2016年受雇从事工程工作，拖欠工资14.5万元
- **维权过程**：2020年6月申请法律援助，采用"诉讼+调解"方式
- **维权结果**：达成调解协议，公司分期支付拖欠工资及利息
### 工伤赔偿案例（银川市西夏区王某案）
- **案件背景**：2018年因交通事故造成工伤，七级伤残
- **维权过程**：撤销显失公平协议→诉讼→劳动仲裁
- **维权结果**：获得16.8万元全额赔偿
## 二、维权成本对比分析
### 相同点：
1. **法律援助降低经济成本**：两个案例均获得免费法律援助，避免了高额律师费
2. **专业律师支持**：法律援助律师提供专业指导，减少因不懂法造成的额外成本
3. **证据收集成本**：都需要收集相关证据材料，但律师协助降低了举证难度
### 不同点：
1. **时间成本**：
   - 讨薪案例：从2016年到2020年，历时4年
   - 工伤案例：从工伤发生到最终获赔，时间相对较短
2. **程序复杂度**：
   - 讨薪案例：相对简单，主要是确认劳动关系和拖欠事实
   - 工伤案例：需要工伤认定、伤残鉴定、协议撤销等多个复杂程序
3. **后续执行成本**：
   - 讨薪案例：调解后分期支付，执行风险较低
   - 工伤案例：仲裁后需要强制执行的可能性较大
## 三、维权效率对比分析
### 相同点：
1. **法律援助加速进程**：专业律师的介入避免了劳动者因不懂法而走弯路
2. **法律途径保障效果**：最终都获得了比预期更好的结果
3. **需要较长时间处理**：劳动争议案件普遍处理周期较长
### 不同点：
1. </t>
        </is>
      </c>
      <c r="O36" s="21" t="n">
        <v>5</v>
      </c>
      <c r="P36" s="14" t="n"/>
    </row>
    <row r="37" ht="60" customHeight="1">
      <c r="A37" s="2" t="inlineStr">
        <is>
          <t>Q36</t>
        </is>
      </c>
      <c r="B37" s="18" t="inlineStr">
        <is>
          <t>多步推理</t>
        </is>
      </c>
      <c r="C37" s="2" t="inlineStr">
        <is>
          <t>知识库中有哪些案例涉及《工伤保险条例》第十四条？请列举并说明该法条在不同案例中的适用差异。</t>
        </is>
      </c>
      <c r="D37" s="2" t="inlineStr">
        <is>
          <t>精确法条检索+跨案例分析</t>
        </is>
      </c>
      <c r="E37" s="2" t="inlineStr">
        <is>
          <t>Agent(LangGraph)</t>
        </is>
      </c>
      <c r="F37" s="14" t="n"/>
      <c r="G37" s="14" t="n"/>
      <c r="H37" s="14" t="n"/>
      <c r="I37" s="14" t="n"/>
      <c r="J37" s="14" t="n"/>
      <c r="K37" s="14" t="n"/>
      <c r="L37" s="20" t="inlineStr">
        <is>
          <t>根据已知信息，知识库中涉及《工伤保险条例》第十四条的案例有两个：律师代理黄某与郴州市人社局劳动和社会保障行政确认案（以下简称“黄某案”）和律师代理谢某与某市人力资源和社会保障局不予认定工伤行政纠纷案（以下简称“谢某案”）。以下列举案例并说明该法条在不同案例中的适用差异。
### 涉及《工伤保险条例》第十四条的案例：
1. **黄某案**  
   - **案件情况**：黄某系郴州市某公司业务主管，因工作需要外出推销业务时发生交通事故受伤。郴州市人社局以“不是在工作时间和工作场所内因工作原因受到事故伤害”为由，作出不予认定工伤决定。法院一审撤销该决定，认为黄某符合《工伤保险条例》第十四条第（五）项“因工外出期间，由于工作原因受到伤害”的规定，应认定为工伤。  
   - **法条适用**：法院依据第十四条第（五）项，强调“因工外出”和“工作原因”的认定标准。黄某的出行是基于工作需要，整个外出期间视为工作时间，且无证据证明其从事与工作无关的活动，因此支持工伤认定。
2. **谢某案**  
   - **案件情况**：谢某在公司食堂就餐后返回公司上班途中摔伤，某市人社局以“事故伤害不符合工伤保险条例第十四条、第十五条”为由，作出不予认定工伤决定。案例未提供后续处理结果，但明确指出人社局认为不符合工伤认定条件。  
   - **法条适用**：案例提及《工伤保险条例》第十四条（可能涉及第（六）项“在上下班途中，受到非本人主要责任的交通事故伤害”），但谢某的伤情是摔伤，非交通事故，且未提及其他符合第十四条的情形。因此，法条适用上，人社局认为谢某的情况不符合第十四条的工伤认定条件。
### 法条适用差异说明：
- **黄某案**：  
  法条适用偏向支持工伤认定。法院严格解释第十四条第（五）项，将“因工外出”和“工作原因”作为核心要素，认为只要职工基于工作需要外出，期间发生的</t>
        </is>
      </c>
      <c r="M37" s="21" t="n">
        <v>4</v>
      </c>
      <c r="N37" s="20" t="inlineStr">
        <is>
          <t xml:space="preserve">
根据检索结果，知识库中有5个案例涉及《工伤保险条例》第十四条。让我为您详细列举并分析该法条在不同案例中的适用差异：
## 涉及《工伤保险条例》第十四条的案例
### 案例1：黄某与郴州市人社局劳动和社会保障行政确认案
**适用条款**：第十四条第（五）项"因工外出期间，由于工作原因受到伤害或者发生事故下落不明的"
**案件事实**：黄某作为业务主管，因工作需要去超市洽谈业务，在途中发生交通事故
**裁判结果**：法院撤销人社局不予认定工伤决定，认为黄某符合工伤认定条件
### 案例2：谢某与某市人力资源和社会保障局不予认定工伤行政纠纷案
**适用条款**：第十四条（未明确具体款项）
**案件事实**：谢某在食堂就餐后返回公司上班途中摔伤
**裁判结果**：人社局作出不予认定工伤决定（案例标题显示为"辩护成功"，可能通过诉讼推翻）
### 案例3：黄某与郴州市人社局劳动和社会保障行政确认案（重复案例）
**适用条款**：第十四条第（五）项
**案件事实**：黄某因工外出乘坐电动车时被撞伤，交警认定对方主要责任，黄某次要责任
**裁判结果**：法院撤销人社局不予认定工伤决定
### 案例4：黄某某职业病赔偿案
**适用条款**：第十四条（职业病相关条款）
**案件事实**：黄某某患有职业病，用人单位拒绝支付额外人身损害赔偿
**裁判结果**：法院支持职业病病人除工伤保险外还可获得民事赔偿的主张
### 案例5：黄某与郴州市人社局劳动和社会保障行政确认案（程序违法案例）
**适用条款**：第十四条第（五）项
**案件事实**：黄某因工外出推销业务时遭遇交通事故，人社局超过法定60日期限作出决定
**裁判结果**：人社局程序违法且适用法律错误，应认定为工伤
## 《工伤保险条例》第十四条在不同案例中的适用差异
### 1. **适用条款的差异**
**第十四条第</t>
        </is>
      </c>
      <c r="O37" s="21" t="n">
        <v>5</v>
      </c>
      <c r="P37" s="14" t="n"/>
    </row>
    <row r="38" ht="60" customHeight="1">
      <c r="A38" s="2" t="inlineStr">
        <is>
          <t>Q37</t>
        </is>
      </c>
      <c r="B38" s="18" t="inlineStr">
        <is>
          <t>多步推理</t>
        </is>
      </c>
      <c r="C38" s="2" t="inlineStr">
        <is>
          <t>一位法律工作者想了解'用人单位未缴纳社保导致的工伤赔偿纠纷'的典型处理方式。请检索相关案例，提取共同的争议焦点和解决路径。</t>
        </is>
      </c>
      <c r="D38" s="2" t="inlineStr">
        <is>
          <t>主题检索+信息提取+规律总结</t>
        </is>
      </c>
      <c r="E38" s="2" t="inlineStr">
        <is>
          <t>Agent(LangGraph)</t>
        </is>
      </c>
      <c r="F38" s="14" t="n"/>
      <c r="G38" s="14" t="n"/>
      <c r="H38" s="14" t="n"/>
      <c r="I38" s="14" t="n"/>
      <c r="J38" s="14" t="n"/>
      <c r="K38" s="14" t="n"/>
      <c r="L38" s="20" t="inlineStr">
        <is>
          <t xml:space="preserve">根据提供的案例信息，针对“用人单位未缴纳社保导致的工伤赔偿纠纷”的典型处理方式，我已检索相关案例并提取了共同的争议焦点和解决路径。以下分析基于已知信息，简洁、专业地总结，未添加编造成分。
### 共同争议焦点
从案例中提取的争议焦点主要集中在以下几个方面：
1. **用人单位未缴纳社保的责任认定**：用人单位未依法缴纳工伤保险费，导致劳动者工伤后无法从工伤保险基金获得赔偿，责任如何划分（如江某案例中，医保中心以“用人单位无主体存在”为由拒绝先行支付；陈某案例中，用人单位以劳动者放弃社保声明为由抗辩）。
2. **劳动者工伤赔偿的获得方式**：劳动者在用人单位未缴纳社保的情况下，如何通过法律途径获得工伤赔偿（如江某案例中，劳动者需经仲裁、诉讼后执行中止才能申请先行支付；黎某案例中，劳动者可主张双倍工资差额和经济补偿金）。
3. **放弃社保声明的无效性**：劳动者签署的“放弃购买社保声明”是否有效（如陈某案例中，法院认定该声明违反法律强制性规定，无效）。
4. **赔偿标准的计算依据**：工伤赔偿金额如何依法确定（如胡某案例中，调解员依据《工伤保险条例》计算一次性伤残补助金等）。
### 解决路径
从案例中提取的典型解决路径，包括法律程序和关键步骤：
1. **工伤认定**：劳动者首先申请工伤认定，作为赔偿的前提（如江某案例中，人社局认定工伤；胡某案例中，工伤认定书作为依据）。
2. **法律程序启动**：
   - **劳动仲裁或诉讼**：劳动者通过劳动仲裁或诉讼要求用人单位支付赔偿（如江某案例中，经仲裁后申请执行；黎某案例中，劳动者可举报或起诉）。
   - **行政诉讼**：若社保机构拒绝支付（如医保中心），劳动者可提起行政诉讼（如江某案例中，诉医保中心先行支付义务）。
   - **调解**：通过人民调解等非诉讼方式解决纠纷（如胡某案例中，调解员介入促成协议）。
</t>
        </is>
      </c>
      <c r="M38" s="21" t="n">
        <v>4</v>
      </c>
      <c r="N38" s="20" t="inlineStr">
        <is>
          <t xml:space="preserve">
基于检索到的5个典型案例，我为您分析"用人单位未缴纳社保导致的工伤赔偿纠纷"的典型处理方式：
## 一、共同争议焦点
### 1. **用人单位未参保的赔偿责任认定**
- 用人单位未依法缴纳工伤保险费，导致工伤职工无法从工伤保险基金享受待遇
- 用人单位是否应当承担全部工伤保险赔偿责任
- 劳动者放弃购买社保的声明是否有效（案例5明确认定无效）
### 2. **工伤保险基金先行支付的条件**
- 用人单位不支付工伤保险待遇时，工伤保险基金是否应当先行支付
- 需要满足哪些法定条件才能申请先行支付
- 法院终结本次执行程序是否等同于中止执行（案例1、2）
### 3. **用人单位无财产可供执行时的权益保障**
- 当用人单位无财产可供执行时，工伤职工如何获得及时救助
- 社保机构是否应当履行先行支付义务
- 社保机构追偿权的实现问题
### 4. **建筑业特殊参保模式的责任认定**
- 总承包方为分包方员工参保情况下的责任主体认定（案例3）
- 实际用人单位与参保主体不一致时的责任划分
## 二、典型解决路径
### 1. **法律程序路径**
```
工伤认定 → 劳动能力鉴定 → 劳动仲裁 → 诉讼 → 强制执行 → 先行支付申请
```
**具体步骤：**
- **工伤认定**：首先进行工伤认定，确定伤害性质
- **劳动能力鉴定**：评定伤残等级，确定赔偿标准
- **劳动仲裁**：申请仲裁要求用人单位支付工伤保险待遇
- **诉讼程序**：对仲裁结果不服可提起诉讼
- **强制执行**：申请法院强制执行仲裁裁决
- **先行支付申请**：在用人单位无财产可供执行时，申请工伤保险基金先行支付
### 2. **核心法律依据**
- **《社会保险法》第四十一条**：用人单位未依法缴纳工伤保险费，发生工伤事故的，由用人单位支付工伤保险待遇。用</t>
        </is>
      </c>
      <c r="O38" s="21" t="n">
        <v>5</v>
      </c>
      <c r="P38" s="14" t="n"/>
    </row>
    <row r="39" ht="60" customHeight="1">
      <c r="A39" s="2" t="inlineStr">
        <is>
          <t>Q38</t>
        </is>
      </c>
      <c r="B39" s="18" t="inlineStr">
        <is>
          <t>多步推理</t>
        </is>
      </c>
      <c r="C39" s="2" t="inlineStr">
        <is>
          <t>请分别找一个调解成功和一个仲裁成功的劳动争议案例，对比两种解决方式的优缺点。</t>
        </is>
      </c>
      <c r="D39" s="2" t="inlineStr">
        <is>
          <t>条件检索+对比分析</t>
        </is>
      </c>
      <c r="E39" s="2" t="inlineStr">
        <is>
          <t>Agent(LangGraph)</t>
        </is>
      </c>
      <c r="F39" s="14" t="n"/>
      <c r="G39" s="14" t="n"/>
      <c r="H39" s="14" t="n"/>
      <c r="I39" s="14" t="n"/>
      <c r="J39" s="14" t="n"/>
      <c r="K39" s="14" t="n"/>
      <c r="L39" s="20" t="inlineStr"/>
      <c r="M39" s="21" t="n">
        <v>2</v>
      </c>
      <c r="N39" s="20" t="inlineStr">
        <is>
          <t xml:space="preserve">
基于检索到的两个典型案例，我来为您分析调解和仲裁两种劳动争议解决方式的优缺点：
## 调解成功案例：兴化市孙某与张某劳动争议纠纷调解案
**案例特点**：双方对劳动关系无争议，主要争议是工资支付形式问题，通过调解员运用法律条文宣传教育，最终成功化解纠纷。
## 仲裁成功案例：山西省晋城市侯某劳动争议案
**案例特点**：侯某工作7年未签劳动合同，通过仲裁、一审、上诉等法律程序，最终获得双倍工资赔偿。
## 两种解决方式优缺点对比
### 🟢 调解方式优点
1. **程序简便高效**
   - 无需复杂的法律程序，调解过程相对灵活
   - 案例A中调解员快速抓住争议焦点，及时化解纠纷
2. **成本低廉**
   - 无需支付高额的仲裁费、诉讼费
   - 节省时间和人力成本
3. **维护关系和谐**
   - 非对抗性程序，有利于维护双方长期合作关系
   - 案例A中通过"面对面"和"背靠背"相结合的方式，减少直接冲突
4. **结果灵活多样**
   - 可以达成超出法定范围的个性化解决方案
   - 案例A中既解决了法律问题，又维护了双方关系
5. **保密性好**
   - 调解过程不公开，保护当事人隐私
### 🔴 调解方式缺点
1. **缺乏强制执行力**
   - 依赖双方自愿履行，一方不履行需另行申请强制执行
   - 约束力相对较弱
2. **成功率受限制**
   - 依赖于双方自愿达成协议
   - 争议较大时难以达成一致
3. **调解员水平影响效果**
   - 调解员的专业能力和经验直接影响调解质量
   - 案例A中调解员熟悉劳动法律法规是成功关键
### 🟢 仲裁方式优点
1. **具有法律强制力**
   - 仲裁裁决具有法律效力，可申请法院强制执行
   - 案例B中最终获得法院判决支持，具有强制执</t>
        </is>
      </c>
      <c r="O39" s="21" t="n">
        <v>5</v>
      </c>
      <c r="P39" s="14" t="n"/>
    </row>
    <row r="40" ht="60" customHeight="1">
      <c r="A40" s="2" t="inlineStr">
        <is>
          <t>Q39</t>
        </is>
      </c>
      <c r="B40" s="18" t="inlineStr">
        <is>
          <t>多步推理</t>
        </is>
      </c>
      <c r="C40" s="2" t="inlineStr">
        <is>
          <t>某基层法律援助中心想编写一份'农民工讨薪维权指南'，请基于知识库中的典型案例提炼3-5条实用建议。</t>
        </is>
      </c>
      <c r="D40" s="2" t="inlineStr">
        <is>
          <t>检索+摘要+建议提炼（最接近真实业务）</t>
        </is>
      </c>
      <c r="E40" s="2" t="inlineStr">
        <is>
          <t>Agent(LangGraph)</t>
        </is>
      </c>
      <c r="F40" s="14" t="n"/>
      <c r="G40" s="14" t="n"/>
      <c r="H40" s="14" t="n"/>
      <c r="I40" s="14" t="n"/>
      <c r="J40" s="14" t="n"/>
      <c r="K40" s="14" t="n"/>
      <c r="L40" s="20" t="inlineStr">
        <is>
          <t>基于知识库中的典型案例，为农民工讨薪维权指南提炼以下3-5条实用建议。建议均从案例中的具体做法和教训中提取，确保简洁、专业，不添加编造成分。
1. **及时申请法律援助**：当多次索要工资无果时，应尽快向当地法律援助中心申请帮助。例如，在莒县案例中，农民工在法律顾问宣传时主动咨询，获得援助后快速启动维权程序，避免因拖延导致权益受损。  
2. **优先选择调解方式**：维权时优先考虑通过调解解决争议，以快速获得赔偿。例如，莒县案例中，律师采取“诉调结合”方式，促成双方达成调解协议，分期支付工资及利息，避免了漫长诉讼。  
3. **创新援助模式降低成本**：对于集体讨薪或异地农民工，法律援助中心可采用“全程代理制”等创新举措，减少农民工的奔波。例如，天台县案例中，通过推选代表人、预指定律师、特别授权委托书等方式，实现“零跑动”维权，节省时间和金钱。  
4. **推选集体代表人**：在集体讨薪案件中，推选一名代表人统一处理事务，提高维权效率。例如，灌南县和天台县案例中，通过推选代表人集中沟通和证据收集，确保案件快速处理。  
5. **妥善保存相关证据**：农民工应保存好工资欠条、合同、工资表等书面证据，以便在维权时提供充分依据。例如，莒县案例中，农民工手持公司出具的借据，天台县案例中提供工资表，这些证据成为维权的关键。</t>
        </is>
      </c>
      <c r="M40" s="21" t="n">
        <v>3</v>
      </c>
      <c r="N40" s="20" t="inlineStr">
        <is>
          <t xml:space="preserve">
基于知识库中的典型案例，我为您提炼出以下5条农民工讨薪维权实用建议：
## 农民工讨薪维权指南（5条实用建议）
### 1. **及时申请法律援助，享受优先服务**
- **建议内容**：农民工讨薪案件属于法律援助范围，可免予经济困难审查，法律援助中心会优先受理、优先指派
- **案例依据**：浙江台州案例显示，31名农民工通过法律援助"全程代理制"实现"零跑动"维权，3天内解决欠薪问题
- **操作要点**：携带工资表、劳动合同等证据材料，直接到当地法律援助中心申请
### 2. **充分收集和保存证据材料**
- **建议内容**：工资表、考勤记录、劳动合同、工程承包合同等书面证据是维权成功的关键
- **案例依据**：四川内江案例中，法律援助中心通过收集工程施工承包合同和拒不支付劳动报酬罪案件材料，成功要求总承包单位承担责任
- **操作要点**：入职时签订书面合同，定期索要工资条，保存工作记录和沟通记录
### 3. **选择诉调结合的维权方式**
- **建议内容**：优先选择调解、仲裁等非诉讼方式，降低维权成本和时间成本
- **案例依据**：山东日照案例通过诉调结合方式，14万欠薪案件快速调解结案；江苏灌南案例通过仲裁庭调解帮助101名农民工成功讨薪
- **操作要点**：先通过劳动监察大队投诉调解，调解不成再申请仲裁或诉讼
### 4. **善用集体维权机制，选好代表人**
- **建议内容**：集体讨薪时推选1-2名代表人，通过特别授权委托书实现"零跑动"维权
- **案例依据**：浙江台州案例创新"全程代理制"，31名分散在异地的农民工通过代表人制度实现"零跑动"维权
- **操作要点**：确定代表人，办理特别授权委托书，提供银行账号确保执行到位
### 5. **了解并运用最新法律法规**
- **建议内容**：掌握《保障农民工工资支付条</t>
        </is>
      </c>
      <c r="O40" s="21" t="n">
        <v>5</v>
      </c>
      <c r="P40" s="14" t="n"/>
    </row>
    <row r="41" ht="60" customHeight="1">
      <c r="A41" s="2" t="inlineStr">
        <is>
          <t>Q40</t>
        </is>
      </c>
      <c r="B41" s="18" t="inlineStr">
        <is>
          <t>多步推理</t>
        </is>
      </c>
      <c r="C41" s="2" t="inlineStr">
        <is>
          <t>请判断以下案件是否典型，并找到知识库中最相似的案例进行对比：某外卖骑手送餐途中被电动车撞伤，平台以骑手未购买商业保险为由拒绝赔偿。</t>
        </is>
      </c>
      <c r="D41" s="2" t="inlineStr">
        <is>
          <t>典型性判断+案例检索+对比</t>
        </is>
      </c>
      <c r="E41" s="2" t="inlineStr">
        <is>
          <t>Agent(LangGraph)</t>
        </is>
      </c>
      <c r="F41" s="14" t="n"/>
      <c r="G41" s="14" t="n"/>
      <c r="H41" s="14" t="n"/>
      <c r="I41" s="14" t="n"/>
      <c r="J41" s="14" t="n"/>
      <c r="K41" s="14" t="n"/>
      <c r="L41" s="20" t="inlineStr">
        <is>
          <t xml:space="preserve">### 判断案件是否典型
根据已知信息，该案件（外卖骑手送餐途中被电动车撞伤，平台以骑手未购买商业保险为由拒绝赔偿）是典型的。理由如下：
- **典型性分析**：该案件涉及外卖骑手在工作期间因第三方侵权（被电动车撞伤）而受伤，平台以商业保险缺失为由拒绝赔偿，这反映了当前新业态（如外卖平台）中常见的劳动争议和保险纠纷问题。在知识库中，案例1（昆山市外卖骑手案）直接针对外卖骑手送餐受伤的劳动争议，表明此类案件在法律援助实践中具有代表性，属于“各类法律援助典型案例”范畴。因此，该案件符合典型案件的定义，即常见、有代表性且涉及法律援助的核心问题（如劳动关系、工伤认定、保险理赔）。
### 最相似的案例
从知识库中，最相似的案例是：  
**案例1：江苏省苏州市昆山市法律援助中心对“外卖骑手”送餐受伤劳动争议提供法律援助案**。  
理由：  
- 该案例的核心主体是外卖骑手，事件发生在送餐途中受伤（案例1是骑手自身撞护栏，用户案件是第三方撞伤），且涉及平台责任（案例1是站点未申报工伤，用户案件是平台以商业保险为由拒绝赔偿）。  
- 两者均涉及劳动争议的解决路径（如劳动关系确认、工伤认定或赔偿协商），但案例1更侧重于劳动法框架下的工伤认定，而用户案件增加了第三方侵权和商业保险问题。
### 案例对比
| **对比维度**       | **用户案件**                                                                 | **案例1（昆山市外卖骑手案）**                                                                 | **相似点与差异点**                                                      </t>
        </is>
      </c>
      <c r="M41" s="21" t="n">
        <v>4</v>
      </c>
      <c r="N41" s="20" t="inlineStr">
        <is>
          <t xml:space="preserve">
## 案件典型性判断
**您提供的案件具有典型性**，属于当前司法实践中常见的"新就业形态劳动者权益保护"类型案件。该案件涉及外卖骑手在工作期间遭受人身损害，平台以保险问题拒绝赔偿，反映了新型用工模式下劳动者权益保障的突出问题。
## 知识库中最相似案例对比
### 最相似案例：赵某某外卖骑手送餐受伤案
**案件概要：**
赵某某作为外卖骑手在加班送餐途中不慎骑车撞到护栏受伤，用人单位未申报工伤且停发工资。通过法律援助确认劳动关系并达成调解协议，用人单位同意结算剩余工资并配合申报工伤赔偿。
### 案件对比分析
#### **相同点：**
1. **事故场景高度相关**：两个案例均涉及外卖骑手在"送餐途中"受伤，事故发生均与工作内容直接关联
2. **核心争议聚焦"责任主体"**：均需明确用人单位（平台）对骑手伤害的赔偿责任
3. **赔偿路径依赖法律关系认定**：都需要先确定骑手与平台之间的法律关系性质
#### **不同点：**
**1. 事故性质差异：**
- **您的案件**：第三方侵权事故（被电动车撞伤），存在明确侵权方
- **对比案例**：单方事故（自身撞护栏），无第三方侵权人
**2. 责任认定依据：**
- **您的案件**：需同时适用《工伤保险条例》（工伤认定）和《民法典》（侵权责任）
- **对比案例**：主要适用《工伤保险条例》（单方事故的工伤认定）
**3. 赔偿责任主体：**
- **您的案件**：责任主体包括平台（用人单位责任）和侵权方（第三方侵权责任）
- **对比案例**：责任主体主要是用人单位（平台）
### 典型价值分析
**您的案件具有以下典型价值：**
1. **新型用工模式下的权益保护**：反映了平台经济中骑手权益保障的普遍性问题
2. **多重法律关系的交叉处理**：涉及劳动关系认定、工伤认定、侵权责</t>
        </is>
      </c>
      <c r="O41" s="21" t="n">
        <v>5</v>
      </c>
      <c r="P41" s="14" t="n"/>
    </row>
    <row r="42" ht="60" customHeight="1">
      <c r="A42" s="2" t="inlineStr">
        <is>
          <t>Q41</t>
        </is>
      </c>
      <c r="B42" s="18" t="inlineStr">
        <is>
          <t>多步推理</t>
        </is>
      </c>
      <c r="C42" s="2" t="inlineStr">
        <is>
          <t>比较知识库中'行业性、专业性人民调解案例'和'各类法律援助典型案例'两类案例在处理流程上的系统性差异。</t>
        </is>
      </c>
      <c r="D42" s="2" t="inlineStr">
        <is>
          <t>按类别检索+系统性对比</t>
        </is>
      </c>
      <c r="E42" s="2" t="inlineStr">
        <is>
          <t>Agent(LangGraph)</t>
        </is>
      </c>
      <c r="F42" s="14" t="n"/>
      <c r="G42" s="14" t="n"/>
      <c r="H42" s="14" t="n"/>
      <c r="I42" s="14" t="n"/>
      <c r="J42" s="14" t="n"/>
      <c r="K42" s="14" t="n"/>
      <c r="L42" s="20" t="inlineStr">
        <is>
          <t>根据已知信息，仅提供了“行业性、专业性人民调解案例”的具体案例描述，但未包含任何“各类法律援助典型案例”的信息。因此，无法从已知信息中提取后者的处理流程细节，无法进行系统性比较。根据指令，回答如下：  
**根据已知信息无法回答该问题**。</t>
        </is>
      </c>
      <c r="M42" s="21" t="n">
        <v>0</v>
      </c>
      <c r="N42" s="20" t="inlineStr">
        <is>
          <t xml:space="preserve">
基于对知识库中两类案例的检索和分析，我为您总结"行业性、专业性人民调解案例"和"各类法律援助典型案例"在处理流程上的系统性差异：
## 一、人民调解案例的处理流程特点
### 1. **介入时机和性质**
- **早期介入**：通常在纠纷初期或尚未进入正式诉讼阶段
- **预防性调解**：注重矛盾纠纷的源头化解，防止矛盾升级
- **非强制性**：基于当事人自愿原则，不具有法律强制力
### 2. **处理方法**
- **问题导向**：注重解决当事人的实际困难，如医疗纠纷中解决患者无人照料、无家可归等问题
- **实地调查**：调解员主动走访调查，了解实际情况
- **多方协调**：积极联系相关部门，整合社会资源
- **情感关怀**：注重人文关怀，通过解决实际困难来化解心理障碍
### 3. **参与主体**
- **调解员主导**：以人民调解员为核心
- **政府参与**：常邀请政府主管部门参与调解
- **当事人协商**：强调双方友好协商
### 4. **处理目标**
- **社会和谐**：注重维护社会和谐稳定
- **矛盾化解**：追求纠纷的圆满解决
- **关系修复**：注重修复当事人之间的关系
## 二、法律援助案例的处理流程特点
### 1. **介入时机和性质**
- **后期介入**：通常在协商未果、纠纷久拖未决时介入
- **补救性援助**：为弱势群体提供法律救济
- **程序性保障**：具有法律程序保障作用
### 2. **处理方法**
- **法律分析**：从法理、情理角度进行专业分析
- **证据运用**：注重调查取证，运用证据力量
- **法律程序**：可能涉及诉讼程序，如庭前庭后沟通
- **权益保障**：重点保障受援人的合法权益
### 3. **参与主体**
- **律师主导**：以法律援助律师为核心
- **机构</t>
        </is>
      </c>
      <c r="O42" s="21" t="n">
        <v>5</v>
      </c>
      <c r="P42" s="14" t="n"/>
    </row>
    <row r="43" ht="60" customHeight="1">
      <c r="A43" s="2" t="inlineStr">
        <is>
          <t>Q42</t>
        </is>
      </c>
      <c r="B43" s="18" t="inlineStr">
        <is>
          <t>多步推理</t>
        </is>
      </c>
      <c r="C43" s="2" t="inlineStr">
        <is>
          <t>一位法官希望了解：在工伤赔偿案例中，劳动关系认定通常依据哪些证据？请结合具体案例说明。</t>
        </is>
      </c>
      <c r="D43" s="2" t="inlineStr">
        <is>
          <t>检索+细节提取+案例引证</t>
        </is>
      </c>
      <c r="E43" s="2" t="inlineStr">
        <is>
          <t>Agent(LangGraph)</t>
        </is>
      </c>
      <c r="F43" s="14" t="n"/>
      <c r="G43" s="14" t="n"/>
      <c r="H43" s="14" t="n"/>
      <c r="I43" s="14" t="n"/>
      <c r="J43" s="14" t="n"/>
      <c r="K43" s="14" t="n"/>
      <c r="L43" s="20" t="inlineStr">
        <is>
          <t>在工伤赔偿案例中，劳动关系认定是工伤认定的前提，通常依据以下证据：书面劳动合同、考勤记录（如考勤表、打卡记录）、工资支付凭证（如银行流水、工资条）、社保缴纳记录、工作证或工牌、证人证言（如同事或管理人员的证词）、用人单位的规章制度或文件，以及工伤认定决定书本身。这些证据需形成完整证据链，以证明劳动者与用人单位之间存在事实劳动关系。
结合具体案例说明：
1. **书面劳动合同和考勤记录**：在“律师代理黄某与郴州市人社局劳动和社会保障行政确认案”中，劳动关系认定涉及证据采信问题。用人单位提交了余某的辞职报告，但未提供《考勤管理制度》、《考勤表》、《证明》和《劳动合同》等关键证据。劳动者黄某则提供了《询问笔录》和签字视频等证据，形成完整证据链。根据《工伤认定办法》第十七条，用人单位应承担举证责任，但郴州市人社局错误采信辞职报告而忽略劳动者证据，导致程序违法。这表明，考勤记录和劳动合同是劳动关系认定的核心证据，若用人单位举证不充分，应承担不利后果。
2. **工伤认定决定书和工资支付凭证**：在“临时工与用人单位是否存在劳动关系”案例中，曹某通过工伤认定和劳动能力鉴定，获得劳动能力障碍九级结论。承办人提交了工伤认定决定书等证据材料，用于劳动仲裁，证明劳动关系存在。工伤认定决定书本身可作为劳动关系认定的直接证据，结合工资支付凭证（如停工留薪期、护理期评估），有效支持了劳动关系主张。
3. **证人证言和社保记录**：在“黑龙江省大兴安岭地区加格达奇区法律援助中心对妇女张某某交通事故责任纠纷提供法律援助案”中，涉及劳动关系确认、非法劳务派遣等复杂问题。援助律师通过证人证言和社保记录，证明张某某与用人单位存在事实劳动关系，进而支持工伤待遇赔偿。这显示，在劳动关系存疑时，证人证言和社保记录是重要补充证据，尤其在非法劳务派遣等特殊情形中。
综上，劳动关系认定需综合各类证据，并</t>
        </is>
      </c>
      <c r="M43" s="21" t="n">
        <v>4</v>
      </c>
      <c r="N43" s="20" t="inlineStr">
        <is>
          <t xml:space="preserve">
基于检索到的典型案例，我来为您系统分析工伤赔偿案例中劳动关系认定的证据依据：
## 一、劳动关系认定的核心证据类型
### 1. 直接证据
**劳动合同**是最直接的劳动关系证明，但在实际案例中，很多劳动者缺乏书面劳动合同。如黄某案例中，用人单位提供的劳动合同存在严重瑕疵：
- 未加盖公章
- 工资明显低于当地最低标准
- 证人无权进行考勤管理
### 2. 间接证据链
在缺乏直接证据时，需要通过间接证据形成完整证据链：
**工作关系证据：**
- **考勤记录**：如黄某案例中的考勤表（但需注意考勤记录的合法性）
- **工作成果**：销售出库单、工作群消息记录
- **工作安排**：用人单位指派外出工作的证据
**管理关系证据：**
- **工资发放记录**：证明经济依附关系
- **工作指令**：上级安排工作的证据
- **规章制度适用**：证明受用人单位管理约束
### 3. 人证证据
- **同事证言**：如黄某案例中关键证人余某、何某、曹某的询问笔录
- **管理人员证言**：证明工作安排和管理关系
- **视频资料**：现场拍摄的签字视频等视听证据
## 二、典型案例中的证据运用分析
### 案例1：临时工曹某工伤赔偿案
**证据运用特点：**
- 以**工伤认定决定书**作为核心证据
- 通过**法律援助**帮助收集证据
- 依据《工伤保险条例》和地方实施办法主张权利
- 最终通过**调解**解决争议
### 案例2&amp;5：黄某工伤认定行政案
**证据运用亮点：**
1. **举证责任分配**：用人单位否认工伤时承担举证责任
2. **证据真实性审查**：对用人单位提供的辞职报告未核实真实性
3. **完整证据链**：劳动者提供询问笔录、视频资料、销售出库单、群消息、微信朋友圈截图等
4. **程序正义**：强调行政机关应严格遵循证据收集和</t>
        </is>
      </c>
      <c r="O43" s="21" t="n">
        <v>5</v>
      </c>
      <c r="P43" s="14" t="n"/>
    </row>
    <row r="44" ht="60" customHeight="1">
      <c r="A44" s="2" t="inlineStr">
        <is>
          <t>Q43a</t>
        </is>
      </c>
      <c r="B44" s="19" t="inlineStr">
        <is>
          <t>一致性</t>
        </is>
      </c>
      <c r="C44" s="2" t="inlineStr">
        <is>
          <t>有没有盲人办银行业务被拒的案例？</t>
        </is>
      </c>
      <c r="D44" s="2" t="inlineStr">
        <is>
          <t>配对题：与Q43b对比，应找到同一案例</t>
        </is>
      </c>
      <c r="E44" s="2" t="inlineStr">
        <is>
          <t>全链路一致性</t>
        </is>
      </c>
      <c r="F44" s="14" t="n"/>
      <c r="G44" s="14" t="n"/>
      <c r="H44" s="14" t="n"/>
      <c r="I44" s="14" t="n"/>
      <c r="J44" s="14" t="n"/>
      <c r="K44" s="14" t="n"/>
      <c r="L44" s="20" t="inlineStr">
        <is>
          <t>根据已知信息，有盲人办银行业务被拒的案例。具体为：衡阳市侯某某与某银行金融纠纷调解案中，盲人侯某某因无法本人签字，在申请信用卡时被银行按流程拒绝办理。</t>
        </is>
      </c>
      <c r="M44" s="21" t="n">
        <v>5</v>
      </c>
      <c r="N44" s="20" t="inlineStr">
        <is>
          <t xml:space="preserve">
是的，我找到了一个典型的盲人办理银行业务被拒绝的案例：
## 衡阳市侯某某与某银行金融纠纷调解案
### 案件基本情况
2020年3月，盲人侯某某在网上申请了某银行信用卡，初审通过后前往银行营业部进行身份核查及手续确认。因侯某某系盲人，无法本人签字，故无法按照一般信用卡申请流程办理，银行拒绝为其办理信用卡业务，双方产生纠纷。
### 案件争议焦点
银行以"无法本人签字"为由拒绝为盲人客户办理信用卡业务，认为按现行规章制度不签字则无法受理信用卡申请。
### 调解结果
经调解，银行最终同意为盲人客户侯某某采用**录音录像的方式进行身份核查**，由客户经理采用口述方式宣读信用卡使用章程，并重点讲解安全使用规程和注意事项。侯某某通过口述方式确认申领意愿，最终成功申领到信用卡。
### 法律依据
1. **《中华人民共和国商业银行法》第五条**：商业银行与客户的业务往来，应当遵循平等、自愿、公平和诚实信用的原则。
2. **《中国人民银行金融消费者权益保护实施办法》第十四条**：银行不得因金融消费者性别、年龄、种族、民族等不同实行歧视性差别对待。
### 案例意义
这个案例体现了金融机构在服务特殊群体时应当遵循的**实质平等原则**，表明盲人客户虽然行为受到限制，但权利并未丧失。银行应当为特殊群体提供合理便利，而不是简单拒绝服务，这体现了金融服务的包容性和普惠性。
这个案例为其他金融机构如何为盲人等特殊群体提供金融服务提供了很好的参考。</t>
        </is>
      </c>
      <c r="O44" s="21" t="n">
        <v>5</v>
      </c>
      <c r="P44" s="14" t="n"/>
    </row>
    <row r="45" ht="60" customHeight="1">
      <c r="A45" s="2" t="inlineStr">
        <is>
          <t>Q43b</t>
        </is>
      </c>
      <c r="B45" s="19" t="inlineStr">
        <is>
          <t>一致性</t>
        </is>
      </c>
      <c r="C45" s="2" t="inlineStr">
        <is>
          <t>视障人士金融服务权益方面有什么典型调解案例？</t>
        </is>
      </c>
      <c r="D45" s="2" t="inlineStr">
        <is>
          <t>配对题：与Q43a对比，核心结论应一致</t>
        </is>
      </c>
      <c r="E45" s="2" t="inlineStr">
        <is>
          <t>全链路一致性</t>
        </is>
      </c>
      <c r="F45" s="14" t="n"/>
      <c r="G45" s="14" t="n"/>
      <c r="H45" s="14" t="n"/>
      <c r="I45" s="14" t="n"/>
      <c r="J45" s="14" t="n"/>
      <c r="K45" s="14" t="n"/>
      <c r="L45" s="20" t="inlineStr">
        <is>
          <t>根据已知信息，视障人士金融服务权益方面的典型调解案例为：  
**衡阳市侯某某与某银行金融纠纷调解案**。  
### 案例核心内容：  
1. **争议焦点**：  
   - 盲人侯某某因无法本人签字，被银行拒绝按常规流程办理信用卡。  
   - 银行以“现行规章制度要求签字”为由拒绝，并强调安全风险（如无法签字确认交易、易受诈骗）。  
2. **调解过程**：  
   - **调查核实**：调解员实地走访银行，确认侯某某无法签字的客观情况，并了解银行上报省行后仍无法突破制度限制。  
   - **首次调解**：因双方分歧较大（侯某某认为政策未禁止盲人用卡，银行坚持流程），调解暂停。  
   - **二次调解**：  
     - 调解员引用《商业银行法》平等原则及《金融消费者权益保护实施办法》禁止歧视性条款，指出银行制度未考虑盲人等特殊群体需求。  
     - 邀请残联工作人员参与，推动银行“特事特办”，提出为盲人设计适合的身份核查方式（如语音验证等替代签字）。  
   - **结果**：银行接受调解建议，同意为侯某某提供特殊服务。  
3. **典型价值**：  
   - **强调实质平等**：金融机构需超越形式合规，为残障人士等弱势群体提供人性化服务（如替代性身份验证）。  
   - **政策执行灵活性**：禁止机械执行制度，应结合《商业银行法》“金融为民”理念，保障特殊群体金融可获得性。  
   - **维权途径**：消费者遇歧视可向监管机构或人民调解组织求助。  
此案例是视障人士金融服务权益保护的典型调解范例，体现了调解在平衡制度刚性、弱势群体需求与金融创新中的关键作用。</t>
        </is>
      </c>
      <c r="M45" s="21" t="n">
        <v>5</v>
      </c>
      <c r="N45" s="20" t="inlineStr">
        <is>
          <t xml:space="preserve">
根据检索结果，我为您找到了一个关于视障人士金融服务权益的典型调解案例：
## 衡阳市侯某某与某银行金融纠纷调解案
### 案件背景
侯某某是一位盲人客户，因无法本人签字确认信用卡相关单据，无法按照一般信用卡申请流程办理信用卡。某银行按照现行规章制度表示无本人签字无法受理信用卡办卡申请。
### 调解过程
1. **第一次调解**：调解员组织双方进行面对面调解，银行以安全风险为由拒绝办理，侯某某情绪激动，调解暂停。
2. **第二次调解**：调解员邀请衡阳市残联肢残协会工作人员参与，从法律角度指出银行应平等对待特殊群体，建议银行"特事特办"，为残障人士提供特殊服务。
### 裁决要点
- **平等原则**：商业银行与客户的业务往来应当遵循平等、自愿、公平和诚实信用的原则
- **禁止歧视**：银行不得因金融消费者身体条件不同实行歧视性差别对待
- **特殊群体保护**：对于特殊人群等弱势群体，银行应换位思考，提供特殊服务，采取适合其特点的方式进行业务办理
### 典型价值
1. **制度完善**：金融机构在制定制度、程序以及研发系统、电子设备等金融活动中，应当考虑金融消费者群体的多样性，照顾弱势群体的利益。
2. **服务理念**：金融机构应强化"金融为民"理念，提高残障人士等弱势群体的金融服务可获得性，提供安全、便捷、优质、高效、人性化的金融服务。
3. **维权途径**：金融消费者在遇到不公平待遇时，可通过法律途径或向金融监管机构、人民调解组织寻求帮助。
### 法律依据
- 《中华人民共和国商业银行法》第五条
- 《中国人民银行金融消费者权益保护实施办法》第十四条
这个案例体现了金融机构在服务残障人士等特殊群体时应当遵循的平等原则和人文关怀，为类似纠纷的处理提供了重要参考。</t>
        </is>
      </c>
      <c r="O45" s="21" t="n">
        <v>5</v>
      </c>
      <c r="P45" s="14" t="n"/>
    </row>
    <row r="46" ht="60" customHeight="1">
      <c r="A46" s="2" t="inlineStr">
        <is>
          <t>Q44a</t>
        </is>
      </c>
      <c r="B46" s="19" t="inlineStr">
        <is>
          <t>一致性</t>
        </is>
      </c>
      <c r="C46" s="2" t="inlineStr">
        <is>
          <t>工人受伤老板不赔怎么办？</t>
        </is>
      </c>
      <c r="D46" s="2" t="inlineStr">
        <is>
          <t>配对题：与Q44b对比</t>
        </is>
      </c>
      <c r="E46" s="2" t="inlineStr">
        <is>
          <t>全链路一致性</t>
        </is>
      </c>
      <c r="F46" s="14" t="n"/>
      <c r="G46" s="14" t="n"/>
      <c r="H46" s="14" t="n"/>
      <c r="I46" s="14" t="n"/>
      <c r="J46" s="14" t="n"/>
      <c r="K46" s="14" t="n"/>
      <c r="L46" s="20" t="inlineStr">
        <is>
          <t>根据已知信息，工人受伤老板不赔的处理步骤如下：
1. **申请工伤认定**：根据《工伤保险条例》，职工发生事故伤害后，用人单位应在30日内向社会保险行政部门提出工伤认定申请；用人单位未提出的，工伤职工或其近亲属可在1年内直接提出申请。需提交工伤认定申请表、劳动关系证明（如劳动合同、工作证等）和医疗诊断证明书。
2. **明确赔偿责任**：如果用人单位未缴纳工伤保险费，工伤待遇应由用人单位全部负责，包括医疗费用、伤残赔偿等。
3. **寻求法律援助**：如果老板拒绝赔偿，工伤职工可向当地法律援助中心申请帮助，通过法律途径维权。例如，江苏省灌南县法律援助中心曾为农民工提供集体讨薪法律援助，类似案例表明法律援助在维护劳动者权益方面发挥积极作用。
以上信息基于重庆市合川区服务农民工法治宣传活动案例中的相关内容。</t>
        </is>
      </c>
      <c r="M46" s="21" t="n">
        <v>5</v>
      </c>
      <c r="N46" s="20" t="inlineStr">
        <is>
          <t xml:space="preserve">
根据检索到的相关案例，当工人受伤老板不赔时，可以按照以下步骤维权：
## 一、工伤认定程序
### 1. 申请工伤认定
- **申请主体**：用人单位应在事故发生30日内向社保部门申请工伤认定
- **职工自行申请**：如果用人单位不申请，职工或其近亲属、工会组织可在事故发生1年内直接申请
- **所需材料**：劳动关系证明、医疗诊断证明等
### 2. 工伤认定条件
根据《工伤保险条例》第十四条，以下情况应认定为工伤：
- 在工作时间和工作场所内，因工作原因受到事故伤害
- 工作时间前后在工作场所内，从事与工作有关的预备性或收尾性工作受到伤害
- 在上下班途中，受到非本人主要责任的交通事故伤害等
## 二、老板不赔时的救济途径
### 1. 行政复议或行政诉讼
- 如果社保部门不予认定工伤，可以申请行政复议或提起行政诉讼
- 案例1中，谢某通过行政诉讼成功获得了工伤认定
### 2. 劳动仲裁
- 向劳动人事争议仲裁委员会申请仲裁
- 案例3中，江某清通过仲裁调解获得了17.36万元的赔偿
### 3. 法律援助
- 如果是农民工等困难群体，可以申请法律援助
- 案例3中，江某清通过法律援助中心获得了免费律师服务
### 4. 协商调解
- 在仲裁前可以先与用人单位协商调解
- 案例3中，通过多次协商最终达成调解协议
## 三、赔偿范围
根据法律规定，工伤赔偿包括：
- 医疗费用
- 一次性伤残补助金
- 一次性工伤医疗补助金
- 伤残就业补助金
- 停工留薪期工资等
## 四、维权建议
1. **及时收集证据**：保留劳动关系证明、医疗记录、事故现场照片等
2. **及时申请**：注意工伤认定1年的时效限制
3. **寻求专业帮助**：可以咨询律师或申请法律援助
4. **多途径维权**：结合行政、司法、调解等多种方式
**典型案例参考**：</t>
        </is>
      </c>
      <c r="O46" s="21" t="n">
        <v>5</v>
      </c>
      <c r="P46" s="14" t="n"/>
    </row>
    <row r="47" ht="60" customHeight="1">
      <c r="A47" s="2" t="inlineStr">
        <is>
          <t>Q44b</t>
        </is>
      </c>
      <c r="B47" s="19" t="inlineStr">
        <is>
          <t>一致性</t>
        </is>
      </c>
      <c r="C47" s="2" t="inlineStr">
        <is>
          <t>劳动者因工致残，用人单位拒绝承担工伤保险责任的法律援助案例有哪些？</t>
        </is>
      </c>
      <c r="D47" s="2" t="inlineStr">
        <is>
          <t>配对题：与Q44a对比，案例引用应有交集</t>
        </is>
      </c>
      <c r="E47" s="2" t="inlineStr">
        <is>
          <t>全链路一致性</t>
        </is>
      </c>
      <c r="F47" s="14" t="n"/>
      <c r="G47" s="14" t="n"/>
      <c r="H47" s="14" t="n"/>
      <c r="I47" s="14" t="n"/>
      <c r="J47" s="14" t="n"/>
      <c r="K47" s="14" t="n"/>
      <c r="L47" s="20" t="inlineStr">
        <is>
          <t>根据已知信息，以下案例涉及用人单位拒绝承担工伤保险责任的法律援助：
1. **广东省中山市法律援助处对职业病职工黄某某提供法律援助案**：用人单位拒绝承担职业病民事赔偿责任（包括工伤保险待遇外的赔偿），法律援助帮助劳动者依据《职业病防治法》第五十八条获得民事赔偿，包括残疾赔偿金、精神抚慰金等。
2. **湖南省岳阳市法律援助中心对江某某工伤保险待遇纠纷提供法律援助案**：用人单位拒绝申报工伤保险待遇和支付赔偿，法律援助帮助劳动者通过劳动仲裁获得调解赔偿，包括工伤保险待遇和补充工伤保险赔偿。
3. **上海市崇明区法律援助中心对范某某因工伤受到人身损害提供法律援助案**：用人单位拒绝提供职业病诊断材料和支付工伤待遇，法律援助帮助劳动者确认劳动关系、获得工伤认定和伤残鉴定，并推动用人单位承担工伤保险责任。</t>
        </is>
      </c>
      <c r="M47" s="21" t="n">
        <v>4</v>
      </c>
      <c r="N47" s="20" t="inlineStr">
        <is>
          <t xml:space="preserve">
根据检索结果，我找到了多个劳动者因工致残、用人单位拒绝承担工伤保险责任的法律援助案例。以下是主要案例的详细情况：
## 主要法律援助案例
### 1. **广东省中山市黄某某职业病工伤法律援助案**
- **案情**：黄某某患职业病后，用人单位引用《最高人民法院关于审理人身损害赔偿案件适用法律若干问题的解释》第十二条，只愿意承担工伤保险待遇责任，拒绝支付人身损害赔偿。
- **法律援助要点**：
  - 引用《职业病防治法》第五十八条，主张职业病病人除享有工伤保险外，尚有获得民事赔偿的权利
  - 论证工伤保险待遇与民事赔偿的区别，主张可同时获得一次性伤残补助金、伤残津贴以及残疾赔偿金、精神抚慰金等
  - 强调职业病工伤的特殊性，工伤保险待遇无法完全补偿劳动者损害
- **结果**：中山市第一人民法院采纳律师代理意见，判决用人单位承担赔偿责任
### 2. **湖南省岳阳市江某某工伤保险待遇纠纷法律援助案**
- **案情**：江某某在建筑工地工作时因防护模板断裂摔伤致残，用人单位拒绝为其申报领取工伤保险待遇和赔偿。
- **法律援助要点**：
  - 启动农民工法律援助"绿色通道"
  - 梳理案件脉络，考虑受援人59岁、需终身服药、家庭经济困难等特殊情况
  - 通过仲裁调解，争取最大利益
- **结果**：通过调解获得17.36万元赔偿（含借款3.6万元），并成功申报工伤保险待遇和补充工伤保险
### 3. **转包关系下的工伤责任法律援助案例**
- **争议焦点**：在转包关系中，用人单位拒绝承担工伤保险责任，认为与劳动者不存在真实劳动关系。
- **法律援助要点**：
  - 引用《最高人民法院关于审理工伤保险行政案件若干问题的规定》第三条
  - 论证承担工伤保险责任的单位并非必然与劳动者具有劳动关系
  - 强调从有利于职工角度出发的特殊情形处理</t>
        </is>
      </c>
      <c r="O47" s="21" t="n">
        <v>5</v>
      </c>
      <c r="P47" s="14" t="n"/>
    </row>
    <row r="48" ht="60" customHeight="1">
      <c r="A48" s="2" t="inlineStr">
        <is>
          <t>Q45a</t>
        </is>
      </c>
      <c r="B48" s="19" t="inlineStr">
        <is>
          <t>一致性</t>
        </is>
      </c>
      <c r="C48" s="2" t="inlineStr">
        <is>
          <t>请判断以下案件是否具有典型性：工厂工人因设备故障失去手指，工厂拒赔。</t>
        </is>
      </c>
      <c r="D48" s="2" t="inlineStr">
        <is>
          <t>配对题：与Q45b本质相同</t>
        </is>
      </c>
      <c r="E48" s="2" t="inlineStr">
        <is>
          <t>全链路一致性</t>
        </is>
      </c>
      <c r="F48" s="14" t="n"/>
      <c r="G48" s="14" t="n"/>
      <c r="H48" s="14" t="n"/>
      <c r="I48" s="14" t="n"/>
      <c r="J48" s="14" t="n"/>
      <c r="K48" s="14" t="n"/>
      <c r="L48" s="20" t="inlineStr">
        <is>
          <t>根据已知信息，无法判断“工厂工人因设备故障失去手指，工厂拒赔”的案件是否具有典型性。已知信息中未包含与此案件直接相关的案例或内容，无法提供依据。</t>
        </is>
      </c>
      <c r="M48" s="21" t="n">
        <v>5</v>
      </c>
      <c r="N48" s="20" t="inlineStr">
        <is>
          <t xml:space="preserve">
基于检索到的相关案例，我可以判断您描述的"工厂工人因设备故障失去手指，工厂拒赔"案件**具有很高的典型性**。以下是具体分析：
## 典型性特征分析
### 1. **案件类型高度典型**
从检索到的案例来看，这类工伤赔偿纠纷在劳动争议中非常普遍：
- **胡某案例**：工人操作冲压设备时被压断三根手指，工厂以"违规操作"为由拒赔
- **米某案例**：工人操作搅拌机时手指受伤，劳务派遣公司拒付工伤补偿
- **李某某案例**：工伤死亡赔偿纠纷，企业拒付合理赔偿
### 2. **伤害模式高度相似**
您描述的案件与检索案例在伤害机制上完全一致：
- 都是**设备故障**导致的伤害
- 都是**手指受伤**（断指、压断等）
- 都发生在**工作场所和工作时间**
### 3. **争议焦点高度一致**
所有案例都存在相同的争议点：
- **工厂方推卸责任**：以"违规操作"、"员工自身过错"等理由拒赔
- **赔偿金额争议**：劳动者要求高额赔偿，企业认为标准过高
- **保险问题**：多数案例中企业未为员工缴纳工伤保险
### 4. **解决方式具有代表性**
这些案例展示了典型的解决路径：
- **调解解决**：通过人民调解委员会介入
- **法律援助**：通过法律援助中心提供帮助
- **法律程序**：通过仲裁、诉讼等法律途径
## 典型价值体现
这类案件具有以下典型价值：
1. **法律适用典型**：涉及《工伤保险条例》、《劳动合同法》等核心劳动法律
2. **社会问题典型**：反映中小企业安全生产管理不善、劳动者权益保护不足等问题
3. **解决模式典型**：展示了劳动争议纠纷的标准化处理流程
4. **维权路径典型**：为类似案件提供了可借鉴的处理经验
## 结论
您描述的案件**具有高度的典型性**，是劳动争议纠纷中的典型案例类型。这类案</t>
        </is>
      </c>
      <c r="O48" s="21" t="n">
        <v>5</v>
      </c>
      <c r="P48" s="14" t="n"/>
    </row>
    <row r="49" ht="60" customHeight="1">
      <c r="A49" s="2" t="inlineStr">
        <is>
          <t>Q45b</t>
        </is>
      </c>
      <c r="B49" s="19" t="inlineStr">
        <is>
          <t>一致性</t>
        </is>
      </c>
      <c r="C49" s="2" t="inlineStr">
        <is>
          <t>请判断以下案件是否具有典型性：某制造企业员工操作机器时因设备缺陷导致手部伤残，企业以员工违规操作为由拒绝赔偿。</t>
        </is>
      </c>
      <c r="D49" s="2" t="inlineStr">
        <is>
          <t>配对题：与Q45a的典型性判断结论应一致</t>
        </is>
      </c>
      <c r="E49" s="2" t="inlineStr">
        <is>
          <t>全链路一致性</t>
        </is>
      </c>
      <c r="F49" s="14" t="n"/>
      <c r="G49" s="14" t="n"/>
      <c r="H49" s="14" t="n"/>
      <c r="I49" s="14" t="n"/>
      <c r="J49" s="14" t="n"/>
      <c r="K49" s="14" t="n"/>
      <c r="L49" s="20" t="inlineStr">
        <is>
          <t>根据已知信息，该案件具有典型性。理由如下：在胡某与西安市灞桥区某汽车工贸公司劳动争议纠纷调解案中，胡某在操作冲压设备时因设备压断手指导致手部伤残，企业以员工违规操作为由拒绝赔偿，但最终通过工伤认定、伤残鉴定和调解达成赔偿协议。该案例反映了劳动争议中常见的工伤事故场景，即员工因设备缺陷或操作风险受伤，企业推卸责任，但依据《工伤保险条例》等法律通过调解解决。用户描述的案件与此高度相似，因此具有典型性。</t>
        </is>
      </c>
      <c r="M49" s="21" t="n">
        <v>5</v>
      </c>
      <c r="N49" s="20" t="inlineStr">
        <is>
          <t xml:space="preserve">
基于检索到的相关案例，我来为您分析这个案件的典型性。
## 案件典型性分析
**该案件具有高度的典型性**，主要体现在以下几个方面：
### 1. **事实要素的典型性**
从检索到的胡某案例可以看出，您描述的案件与实际案例高度吻合：
- **制造企业背景**：汽车工贸公司（制造业）
- **设备导致伤害**：冲压设备压断手指
- **手部伤残**：右手三根手指被压断
- **企业抗辩理由**：声称员工存在违规操作行为
- **赔偿争议**：企业拒绝或拖延赔偿
### 2. **法律争议的典型性**
该案件涉及劳动争议中最常见的几个核心问题：
**工伤认定争议**
- 企业常以"员工违规操作"为由否认工伤
- 但根据《工伤保险条例》第十四条，只要在工作时间、工作场所因工作原因受伤，就应认定为工伤
- 设备缺陷本身并不影响工伤认定
**用人单位责任争议**
- 企业未缴纳工伤保险费的法律责任
- 工伤赔偿的具体标准和计算方法
- 一次性伤残补助金、医疗补助金、就业补助金的适用
### 3. **处理程序的典型性**
- **调解前置**：劳动争议通常先经过调解程序
- **证据要求**：需要工伤认定书、伤残鉴定结论等法律文件
- **赔偿计算**：医疗费、误工费、护理费、辅助器具费等综合计算
### 4. **社会影响的典型性**
这类案件反映了：
- 制造业安全生产管理的普遍问题
- 劳动者权益保护的法律实践
- 用人单位法律意识与责任承担的关系
## 结论
**该案件具有极强的典型性**，是劳动争议纠纷中的代表性案例。它涵盖了工伤认定、责任划分、赔偿标准等核心法律问题，对于处理类似案件具有重要的参考价值。这类案件的处理结果直接影响着劳动者的合法权益保护，也关系到用人单位的法律责任承担，是劳动法实践中最常见、最典型的纠纷类型之一。</t>
        </is>
      </c>
      <c r="O49" s="21" t="n">
        <v>5</v>
      </c>
      <c r="P49" s="14" t="n"/>
    </row>
    <row r="50" ht="60" customHeight="1">
      <c r="A50" s="2" t="inlineStr">
        <is>
          <t>Q46a</t>
        </is>
      </c>
      <c r="B50" s="19" t="inlineStr">
        <is>
          <t>一致性</t>
        </is>
      </c>
      <c r="C50" s="2" t="inlineStr">
        <is>
          <t>有没有外卖骑手工伤赔偿的案例？</t>
        </is>
      </c>
      <c r="D50" s="2" t="inlineStr">
        <is>
          <t>配对题：与Q46b对比</t>
        </is>
      </c>
      <c r="E50" s="2" t="inlineStr">
        <is>
          <t>全链路一致性</t>
        </is>
      </c>
      <c r="F50" s="14" t="n"/>
      <c r="G50" s="14" t="n"/>
      <c r="H50" s="14" t="n"/>
      <c r="I50" s="14" t="n"/>
      <c r="J50" s="14" t="n"/>
      <c r="K50" s="14" t="n"/>
      <c r="L50" s="20" t="inlineStr">
        <is>
          <t>是的，有。例如，江苏省苏州市昆山市法律援助中心对“外卖骑手”赵某某送餐受伤劳动争议提供法律援助案，最终通过调解获得工伤赔偿。</t>
        </is>
      </c>
      <c r="M50" s="21" t="n">
        <v>4</v>
      </c>
      <c r="N50" s="20" t="inlineStr">
        <is>
          <t xml:space="preserve">
是的，我找到了外卖骑手工伤赔偿的相关案例。以下是主要案例：
## 主要案例：江苏省苏州市昆山市外卖骑手工伤赔偿案
**案件概要：**
赵某某于2020年1月入职苏州昆山某外卖站点做骑手，按单计酬（每单6元）。1月25日下班途中接到站点加班通知，在加班送餐时骑车撞到护栏受伤。因是孤儿无钱住院，外卖站点未申报工伤并停止发放工资，赵某某被迫带伤继续工作。
**关键争议点：**
- 劳动关系认定：新型"网约"、"派单"工作模式下的劳动关系确认
- 证据不足：无书面劳动合同、无社保记录、未及时报警
**裁判要旨：**
法院认定外卖骑手与站点存在劳动关系，理由如下：
1. 赵某某是站点专职人员，送餐服务属于用人单位业务组成部分
2. 接受站点劳动管理，有上下线时间要求
3. 虽按单计酬，但由站点统一确认接单数量并结算，属于有报酬劳动
**处理结果：**
双方达成调解协议：
- 终止劳动关系
- 站点三日内结算剩余工资
- 配合申报工伤，鉴定后两个月内给予工伤赔偿
## 其他相关案例：
1. **职业病工伤赔偿案例**（案例2、4）：涉及职业病劳动者在获得工伤保险赔偿后，还可向用人单位主张民事赔偿的权利。
2. **工伤赔偿协议纠纷案例**（案例3）：劳动者因不懂法签订不公平赔偿协议，可通过撤销合同重新主张权益。
3. **交通事故与工伤竞合案例**（案例5）：涉及复杂的多重法律关系，最终获得约50万元赔偿。
这些案例为外卖骑手工伤赔偿提供了重要的法律参考，特别是在新型就业形态下劳动关系认定方面的实践指导。</t>
        </is>
      </c>
      <c r="O50" s="21" t="n">
        <v>5</v>
      </c>
      <c r="P50" s="14" t="n"/>
    </row>
    <row r="51" ht="60" customHeight="1">
      <c r="A51" s="2" t="inlineStr">
        <is>
          <t>Q46b</t>
        </is>
      </c>
      <c r="B51" s="19" t="inlineStr">
        <is>
          <t>一致性</t>
        </is>
      </c>
      <c r="C51" s="2" t="inlineStr">
        <is>
          <t>知识库中关于平台经济从业者劳动权益保障的典型案例有哪些？</t>
        </is>
      </c>
      <c r="D51" s="2" t="inlineStr">
        <is>
          <t>配对题：与Q46a应都找到昆山骑手案例</t>
        </is>
      </c>
      <c r="E51" s="2" t="inlineStr">
        <is>
          <t>全链路一致性</t>
        </is>
      </c>
      <c r="F51" s="14" t="n"/>
      <c r="G51" s="14" t="n"/>
      <c r="H51" s="14" t="n"/>
      <c r="I51" s="14" t="n"/>
      <c r="J51" s="14" t="n"/>
      <c r="K51" s="14" t="n"/>
      <c r="L51" s="20" t="inlineStr">
        <is>
          <t>根据已知信息，没有涉及平台经济从业者劳动权益保障的典型案例。已知信息中的案例均围绕传统劳动争议、工伤认定、产假工资及法治宣传等内容，未提及平台经济从业者（如网约车司机、外卖骑手等）的相关案例。因此，无法回答该问题。</t>
        </is>
      </c>
      <c r="M51" s="21" t="n">
        <v>4</v>
      </c>
      <c r="N51" s="20" t="inlineStr">
        <is>
          <t xml:space="preserve">
根据检索结果，知识库中关于平台经济从业者劳动权益保障的典型案例相对较少，但有一个案例与平台经济从业者相关：
## 相关案例
### 个人网店转让协议公证案
**来源：** chunk_567.txt
**案件要点：**
- 涉及电子商务平台（蘑菇街平台）上的个人网店经营者
- 案例背景：李某2008年以自然人身份注册网店，后交由A公司实际经营
- 法律依据：《中华人民共和国电子商务法》第十条关于电子商务经营者应当依法办理市场主体登记的规定
- 案例意义：反映了电子商务法实施后，平台经济从业者面临的法律合规问题
**与劳动权益保障的相关性：**
虽然该案例主要涉及经营主体资格和公证程序，但反映了平台经济从业者面临的法律环境变化，包括：
1. 电子商务法对平台经营者的登记要求
2. 个人网店向公司转让的法律程序
3. 平台经济从业者需要适应的法律合规要求
## 其他相关案例
虽然其他案例不直接针对平台经济从业者，但涉及劳动权益保障的一般性问题：
1. **工伤认定行政确认案** - 涉及劳动保障行政争议
2. **产假工资追索案** - 涉及女职工劳动权益保护
## 总结
知识库中专门针对平台经济从业者劳动权益保障的典型案例较少。现有的相关案例更多关注平台经济经营主体的法律合规问题，而非劳动关系的认定、劳动报酬、社会保险等传统劳动权益保障问题。这反映了平台经济从业者劳动权益保障的法律实践仍在发展中，相关典型案例有待积累。</t>
        </is>
      </c>
      <c r="O51" s="21" t="n">
        <v>5</v>
      </c>
      <c r="P51" s="1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tabSelected="1" workbookViewId="0">
      <selection activeCell="K3" sqref="K3"/>
    </sheetView>
  </sheetViews>
  <sheetFormatPr baseColWidth="8" defaultColWidth="9" defaultRowHeight="14.4" outlineLevelRow="6"/>
  <cols>
    <col width="22" customWidth="1" min="1" max="7"/>
  </cols>
  <sheetData>
    <row r="1" ht="50" customHeight="1">
      <c r="A1" s="1" t="inlineStr">
        <is>
          <t>维度</t>
        </is>
      </c>
      <c r="B1" s="1" t="inlineStr">
        <is>
          <t>5分</t>
        </is>
      </c>
      <c r="C1" s="1" t="inlineStr">
        <is>
          <t>4分</t>
        </is>
      </c>
      <c r="D1" s="1" t="inlineStr">
        <is>
          <t>3分</t>
        </is>
      </c>
      <c r="E1" s="1" t="inlineStr">
        <is>
          <t>2分</t>
        </is>
      </c>
      <c r="F1" s="1" t="inlineStr">
        <is>
          <t>1分</t>
        </is>
      </c>
      <c r="G1" s="1" t="inlineStr">
        <is>
          <t>0分</t>
        </is>
      </c>
    </row>
    <row r="2" ht="50" customHeight="1">
      <c r="A2" s="2" t="inlineStr">
        <is>
          <t>精确检索</t>
        </is>
      </c>
      <c r="B2" s="2" t="inlineStr">
        <is>
          <t>准确找到所有相关案例，引用正确</t>
        </is>
      </c>
      <c r="C2" s="2" t="inlineStr">
        <is>
          <t>找到主要案例但遗漏1个</t>
        </is>
      </c>
      <c r="D2" s="2" t="inlineStr">
        <is>
          <t>找到案例但内容概述有误</t>
        </is>
      </c>
      <c r="E2" s="2" t="inlineStr">
        <is>
          <t>返回的案例相关但不精确</t>
        </is>
      </c>
      <c r="F2" s="2" t="inlineStr">
        <is>
          <t>完全没找到或答非所问</t>
        </is>
      </c>
      <c r="G2" s="2" t="inlineStr">
        <is>
          <t>编造不存在的案例</t>
        </is>
      </c>
    </row>
    <row r="3" ht="50" customHeight="1">
      <c r="A3" s="2" t="inlineStr">
        <is>
          <t>语义理解</t>
        </is>
      </c>
      <c r="B3" s="2" t="inlineStr">
        <is>
          <t>准确理解语义意图，找到最相关案例</t>
        </is>
      </c>
      <c r="C3" s="2" t="inlineStr">
        <is>
          <t>理解意图但案例不是最优</t>
        </is>
      </c>
      <c r="D3" s="2" t="inlineStr">
        <is>
          <t>部分理解，回答沾边</t>
        </is>
      </c>
      <c r="E3" s="2" t="inlineStr">
        <is>
          <t>理解偏差较大</t>
        </is>
      </c>
      <c r="F3" s="2" t="inlineStr">
        <is>
          <t>完全误解</t>
        </is>
      </c>
      <c r="G3" s="2" t="inlineStr">
        <is>
          <t>编造内容</t>
        </is>
      </c>
    </row>
    <row r="4" ht="50" customHeight="1">
      <c r="A4" s="2" t="inlineStr">
        <is>
          <t>典型性判断</t>
        </is>
      </c>
      <c r="B4" s="2" t="inlineStr">
        <is>
          <t>判断正确，引用恰当案例，分析全面</t>
        </is>
      </c>
      <c r="C4" s="2" t="inlineStr">
        <is>
          <t>判断正确但分析不够深入</t>
        </is>
      </c>
      <c r="D4" s="2" t="inlineStr">
        <is>
          <t>判断正确但缺案例支撑</t>
        </is>
      </c>
      <c r="E4" s="2" t="inlineStr">
        <is>
          <t>判断方向有误</t>
        </is>
      </c>
      <c r="F4" s="2" t="inlineStr">
        <is>
          <t>回避问题</t>
        </is>
      </c>
      <c r="G4" s="2" t="inlineStr">
        <is>
          <t>编造案例或法条</t>
        </is>
      </c>
    </row>
    <row r="5" ht="50" customHeight="1">
      <c r="A5" s="2" t="inlineStr">
        <is>
          <t>抗干扰</t>
        </is>
      </c>
      <c r="B5" s="2" t="inlineStr">
        <is>
          <t>明确拒绝并说明原因</t>
        </is>
      </c>
      <c r="C5" s="2" t="inlineStr">
        <is>
          <t>拒绝但表述不够明确</t>
        </is>
      </c>
      <c r="D5" s="2" t="inlineStr">
        <is>
          <t>部分拒绝，牵强回答</t>
        </is>
      </c>
      <c r="E5" s="2" t="inlineStr">
        <is>
          <t>未拒绝，给出编造内容</t>
        </is>
      </c>
      <c r="F5" s="2" t="inlineStr">
        <is>
          <t>编造详细虚假案例</t>
        </is>
      </c>
      <c r="G5" s="2" t="inlineStr">
        <is>
          <t>编造且语气确定</t>
        </is>
      </c>
    </row>
    <row r="6" ht="50" customHeight="1">
      <c r="A6" s="2" t="inlineStr">
        <is>
          <t>多步推理</t>
        </is>
      </c>
      <c r="B6" s="2" t="inlineStr">
        <is>
          <t>正确拆解任务，工具合理，回答完整</t>
        </is>
      </c>
      <c r="C6" s="2" t="inlineStr">
        <is>
          <t>多步正确但有一步可更优</t>
        </is>
      </c>
      <c r="D6" s="2" t="inlineStr">
        <is>
          <t>完成部分，遗漏重要步骤</t>
        </is>
      </c>
      <c r="E6" s="2" t="inlineStr">
        <is>
          <t>工具调用不合理</t>
        </is>
      </c>
      <c r="F6" s="2" t="inlineStr">
        <is>
          <t>只做简单检索就回答</t>
        </is>
      </c>
      <c r="G6" s="2" t="inlineStr">
        <is>
          <t>完全无法处理</t>
        </is>
      </c>
    </row>
    <row r="7" ht="50" customHeight="1">
      <c r="A7" s="2" t="inlineStr">
        <is>
          <t>一致性(每对)</t>
        </is>
      </c>
      <c r="B7" s="2" t="inlineStr">
        <is>
          <t>核心回答一致(同案例同结论)</t>
        </is>
      </c>
      <c r="C7" s="2" t="inlineStr">
        <is>
          <t>核心结论一致但引用差异</t>
        </is>
      </c>
      <c r="D7" s="2" t="inlineStr">
        <is>
          <t>结论方向一致但表述差异大</t>
        </is>
      </c>
      <c r="E7" s="2" t="inlineStr">
        <is>
          <t>两个回答结论矛盾</t>
        </is>
      </c>
      <c r="F7" s="2" t="inlineStr">
        <is>
          <t>一个正确一个错误</t>
        </is>
      </c>
      <c r="G7" s="2" t="inlineStr">
        <is>
          <t>两个都错误</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ColWidth="9" defaultRowHeight="14.4" outlineLevelRow="7"/>
  <cols>
    <col width="12" customWidth="1" min="1" max="1"/>
    <col width="14" customWidth="1" min="2" max="13"/>
  </cols>
  <sheetData>
    <row r="1" ht="40" customHeight="1">
      <c r="A1" s="7" t="inlineStr">
        <is>
          <t>维度</t>
        </is>
      </c>
      <c r="B1" s="7" t="inlineStr">
        <is>
          <t>题数</t>
        </is>
      </c>
      <c r="C1" s="7" t="inlineStr">
        <is>
          <t>满分</t>
        </is>
      </c>
      <c r="D1" s="7" t="inlineStr">
        <is>
          <t>A:Baseline</t>
        </is>
      </c>
      <c r="E1" s="7" t="inlineStr">
        <is>
          <t>B:+结构化切块</t>
        </is>
      </c>
      <c r="F1" s="7" t="inlineStr">
        <is>
          <t>C:+混合检索</t>
        </is>
      </c>
      <c r="G1" s="7" t="inlineStr">
        <is>
          <t>D:+Reranker</t>
        </is>
      </c>
      <c r="H1" s="7" t="inlineStr">
        <is>
          <t>E:+Agent</t>
        </is>
      </c>
      <c r="I1" s="7" t="inlineStr">
        <is>
          <t>A→B提升</t>
        </is>
      </c>
      <c r="J1" s="7" t="inlineStr">
        <is>
          <t>B→C提升</t>
        </is>
      </c>
      <c r="K1" s="7" t="inlineStr">
        <is>
          <t>C→D提升</t>
        </is>
      </c>
      <c r="L1" s="7" t="inlineStr">
        <is>
          <t>D→E提升</t>
        </is>
      </c>
      <c r="M1" s="7" t="inlineStr">
        <is>
          <t>A→E总提升</t>
        </is>
      </c>
    </row>
    <row r="2">
      <c r="A2" s="8" t="inlineStr">
        <is>
          <t>精确检索</t>
        </is>
      </c>
      <c r="B2" s="9" t="n">
        <v>8</v>
      </c>
      <c r="C2" s="9" t="n">
        <v>40</v>
      </c>
      <c r="D2" s="22" t="n">
        <v>34</v>
      </c>
      <c r="E2" s="22" t="n">
        <v>38</v>
      </c>
      <c r="F2" s="22" t="n">
        <v>38</v>
      </c>
      <c r="G2" s="22" t="n">
        <v>37</v>
      </c>
      <c r="H2" s="22" t="n">
        <v>40</v>
      </c>
      <c r="I2" s="23">
        <f>E2-D2</f>
        <v/>
      </c>
      <c r="J2" s="23">
        <f>F2-E2</f>
        <v/>
      </c>
      <c r="K2" s="23">
        <f>G2-F2</f>
        <v/>
      </c>
      <c r="L2" s="23">
        <f>H2-G2</f>
        <v/>
      </c>
      <c r="M2" s="23">
        <f>H2-D2</f>
        <v/>
      </c>
    </row>
    <row r="3">
      <c r="A3" s="8" t="inlineStr">
        <is>
          <t>语义理解</t>
        </is>
      </c>
      <c r="B3" s="9" t="n">
        <v>8</v>
      </c>
      <c r="C3" s="9" t="n">
        <v>40</v>
      </c>
      <c r="D3" s="22" t="n">
        <v>26</v>
      </c>
      <c r="E3" s="22" t="n">
        <v>35</v>
      </c>
      <c r="F3" s="22" t="n">
        <v>28</v>
      </c>
      <c r="G3" s="22" t="n">
        <v>32</v>
      </c>
      <c r="H3" s="22" t="n">
        <v>39</v>
      </c>
      <c r="I3" s="23">
        <f>E3-D3</f>
        <v/>
      </c>
      <c r="J3" s="23">
        <f>F3-E3</f>
        <v/>
      </c>
      <c r="K3" s="23">
        <f>G3-F3</f>
        <v/>
      </c>
      <c r="L3" s="23">
        <f>H3-G3</f>
        <v/>
      </c>
      <c r="M3" s="23">
        <f>H3-D3</f>
        <v/>
      </c>
    </row>
    <row r="4">
      <c r="A4" s="8" t="inlineStr">
        <is>
          <t>典型性判断</t>
        </is>
      </c>
      <c r="B4" s="9" t="n">
        <v>8</v>
      </c>
      <c r="C4" s="9" t="n">
        <v>40</v>
      </c>
      <c r="D4" s="22" t="n">
        <v>27</v>
      </c>
      <c r="E4" s="22" t="n">
        <v>32</v>
      </c>
      <c r="F4" s="22" t="n">
        <v>32</v>
      </c>
      <c r="G4" s="22" t="n">
        <v>36</v>
      </c>
      <c r="H4" s="22" t="n">
        <v>38</v>
      </c>
      <c r="I4" s="23">
        <f>E4-D4</f>
        <v/>
      </c>
      <c r="J4" s="23">
        <f>F4-E4</f>
        <v/>
      </c>
      <c r="K4" s="23">
        <f>G4-F4</f>
        <v/>
      </c>
      <c r="L4" s="23">
        <f>H4-G4</f>
        <v/>
      </c>
      <c r="M4" s="23">
        <f>H4-D4</f>
        <v/>
      </c>
    </row>
    <row r="5">
      <c r="A5" s="8" t="inlineStr">
        <is>
          <t>抗干扰</t>
        </is>
      </c>
      <c r="B5" s="9" t="n">
        <v>8</v>
      </c>
      <c r="C5" s="9" t="n">
        <v>40</v>
      </c>
      <c r="D5" s="22" t="n">
        <v>38</v>
      </c>
      <c r="E5" s="22" t="n">
        <v>40</v>
      </c>
      <c r="F5" s="22" t="n">
        <v>39</v>
      </c>
      <c r="G5" s="22" t="n">
        <v>39</v>
      </c>
      <c r="H5" s="22" t="n">
        <v>33</v>
      </c>
      <c r="I5" s="23">
        <f>E5-D5</f>
        <v/>
      </c>
      <c r="J5" s="23">
        <f>F5-E5</f>
        <v/>
      </c>
      <c r="K5" s="23">
        <f>G5-F5</f>
        <v/>
      </c>
      <c r="L5" s="23">
        <f>H5-G5</f>
        <v/>
      </c>
      <c r="M5" s="23">
        <f>H5-D5</f>
        <v/>
      </c>
    </row>
    <row r="6">
      <c r="A6" s="8" t="inlineStr">
        <is>
          <t>多步推理</t>
        </is>
      </c>
      <c r="B6" s="9" t="n">
        <v>10</v>
      </c>
      <c r="C6" s="9" t="n">
        <v>50</v>
      </c>
      <c r="D6" s="22" t="n">
        <v>10</v>
      </c>
      <c r="E6" s="22" t="n">
        <v>11</v>
      </c>
      <c r="F6" s="22" t="n">
        <v>31</v>
      </c>
      <c r="G6" s="22" t="n">
        <v>30</v>
      </c>
      <c r="H6" s="22" t="n">
        <v>50</v>
      </c>
      <c r="I6" s="23">
        <f>E6-D6</f>
        <v/>
      </c>
      <c r="J6" s="23">
        <f>F6-E6</f>
        <v/>
      </c>
      <c r="K6" s="23">
        <f>G6-F6</f>
        <v/>
      </c>
      <c r="L6" s="23">
        <f>H6-G6</f>
        <v/>
      </c>
      <c r="M6" s="23">
        <f>H6-D6</f>
        <v/>
      </c>
    </row>
    <row r="7">
      <c r="A7" s="8" t="inlineStr">
        <is>
          <t>一致性</t>
        </is>
      </c>
      <c r="B7" s="9" t="n">
        <v>8</v>
      </c>
      <c r="C7" s="9" t="n">
        <v>40</v>
      </c>
      <c r="D7" s="22" t="n">
        <v>12</v>
      </c>
      <c r="E7" s="22" t="n">
        <v>15</v>
      </c>
      <c r="F7" s="22" t="n">
        <v>17</v>
      </c>
      <c r="G7" s="22" t="n">
        <v>18</v>
      </c>
      <c r="H7" s="22" t="n">
        <v>20</v>
      </c>
      <c r="I7" s="23">
        <f>E7-D7</f>
        <v/>
      </c>
      <c r="J7" s="23">
        <f>F7-E7</f>
        <v/>
      </c>
      <c r="K7" s="23">
        <f>G7-F7</f>
        <v/>
      </c>
      <c r="L7" s="23">
        <f>H7-G7</f>
        <v/>
      </c>
      <c r="M7" s="23">
        <f>H7-D7</f>
        <v/>
      </c>
    </row>
    <row r="8">
      <c r="A8" s="11" t="inlineStr">
        <is>
          <t>总分</t>
        </is>
      </c>
      <c r="B8" s="9" t="n">
        <v>50</v>
      </c>
      <c r="C8" s="9" t="n">
        <v>250</v>
      </c>
      <c r="D8" s="24">
        <f>SUM(D2:D7)</f>
        <v/>
      </c>
      <c r="E8" s="24">
        <f>SUM(E2:E7)</f>
        <v/>
      </c>
      <c r="F8" s="24">
        <f>SUM(F2:F7)</f>
        <v/>
      </c>
      <c r="G8" s="24">
        <f>SUM(G2:G7)</f>
        <v/>
      </c>
      <c r="H8" s="24">
        <f>SUM(H2:H7)</f>
        <v/>
      </c>
      <c r="I8" s="9">
        <f>E8-D8</f>
        <v/>
      </c>
      <c r="J8" s="9">
        <f>F8-E8</f>
        <v/>
      </c>
      <c r="K8" s="9">
        <f>G8-F8</f>
        <v/>
      </c>
      <c r="L8" s="9">
        <f>H8-G8</f>
        <v/>
      </c>
      <c r="M8" s="9">
        <f>H8-D8</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ColWidth="9" defaultRowHeight="14.4"/>
  <cols>
    <col width="20" customWidth="1" min="3" max="6"/>
    <col width="40" customWidth="1" min="7" max="7"/>
  </cols>
  <sheetData>
    <row r="1">
      <c r="A1" s="3" t="inlineStr">
        <is>
          <t>题号</t>
        </is>
      </c>
      <c r="B1" s="3" t="inlineStr">
        <is>
          <t>维度</t>
        </is>
      </c>
      <c r="C1" s="3" t="inlineStr">
        <is>
          <t>问题</t>
        </is>
      </c>
      <c r="D1" s="3" t="inlineStr">
        <is>
          <t>Baseline(A)得分</t>
        </is>
      </c>
      <c r="E1" s="3" t="inlineStr">
        <is>
          <t>结构化切块(B)得分</t>
        </is>
      </c>
      <c r="F1" s="3" t="inlineStr">
        <is>
          <t>提升</t>
        </is>
      </c>
      <c r="G1" s="3" t="inlineStr">
        <is>
          <t>说明</t>
        </is>
      </c>
    </row>
    <row r="2">
      <c r="A2" s="2" t="inlineStr">
        <is>
          <t>Q1</t>
        </is>
      </c>
      <c r="B2" s="2" t="inlineStr">
        <is>
          <t>精确检索</t>
        </is>
      </c>
      <c r="C2" s="2" t="inlineStr">
        <is>
          <t>盲人金融服务调解案例</t>
        </is>
      </c>
      <c r="D2" s="2" t="n">
        <v>4</v>
      </c>
      <c r="E2" s="2" t="n">
        <v>5</v>
      </c>
      <c r="F2" s="2" t="n">
        <v>1</v>
      </c>
      <c r="G2" s="2" t="inlineStr">
        <is>
          <t>结构化额外引用了法律依据</t>
        </is>
      </c>
    </row>
    <row r="3">
      <c r="A3" s="2" t="inlineStr">
        <is>
          <t>Q2</t>
        </is>
      </c>
      <c r="B3" s="2" t="inlineStr">
        <is>
          <t>精确检索</t>
        </is>
      </c>
      <c r="C3" s="2" t="inlineStr">
        <is>
          <t>农民工讨薪典型案例</t>
        </is>
      </c>
      <c r="D3" s="2" t="n">
        <v>4</v>
      </c>
      <c r="E3" s="2" t="n">
        <v>5</v>
      </c>
      <c r="F3" s="2" t="n">
        <v>1</v>
      </c>
      <c r="G3" s="2" t="inlineStr">
        <is>
          <t>结构化列举3个案例并分析典型价值</t>
        </is>
      </c>
    </row>
    <row r="4">
      <c r="A4" s="2" t="inlineStr">
        <is>
          <t>Q3</t>
        </is>
      </c>
      <c r="B4" s="2" t="inlineStr">
        <is>
          <t>精确检索</t>
        </is>
      </c>
      <c r="C4" s="2" t="inlineStr">
        <is>
          <t>工伤赔偿仲裁案例</t>
        </is>
      </c>
      <c r="D4" s="2" t="n">
        <v>4</v>
      </c>
      <c r="E4" s="2" t="n">
        <v>5</v>
      </c>
      <c r="F4" s="2" t="n">
        <v>1</v>
      </c>
      <c r="G4" s="2" t="inlineStr">
        <is>
          <t>结构化找到2个案例</t>
        </is>
      </c>
    </row>
    <row r="5">
      <c r="A5" s="2" t="inlineStr">
        <is>
          <t>Q4</t>
        </is>
      </c>
      <c r="B5" s="2" t="inlineStr">
        <is>
          <t>精确检索</t>
        </is>
      </c>
      <c r="C5" s="2" t="inlineStr">
        <is>
          <t>未成年人犯罪辩护案例</t>
        </is>
      </c>
      <c r="D5" s="2" t="n">
        <v>4</v>
      </c>
      <c r="E5" s="2" t="n">
        <v>5</v>
      </c>
      <c r="F5" s="2" t="n">
        <v>1</v>
      </c>
      <c r="G5" s="2" t="inlineStr">
        <is>
          <t>结构化找到更多案例</t>
        </is>
      </c>
    </row>
    <row r="6">
      <c r="A6" s="2" t="inlineStr">
        <is>
          <t>Q5</t>
        </is>
      </c>
      <c r="B6" s="2" t="inlineStr">
        <is>
          <t>精确检索</t>
        </is>
      </c>
      <c r="C6" s="2" t="inlineStr">
        <is>
          <t>房屋面积缩水案例</t>
        </is>
      </c>
      <c r="D6" s="2" t="n">
        <v>5</v>
      </c>
      <c r="E6" s="2" t="n">
        <v>4</v>
      </c>
      <c r="F6" s="2" t="n">
        <v>-1</v>
      </c>
      <c r="G6" s="2" t="inlineStr">
        <is>
          <t>Baseline反而找到更多案例</t>
        </is>
      </c>
    </row>
    <row r="7">
      <c r="A7" s="2" t="inlineStr">
        <is>
          <t>Q9</t>
        </is>
      </c>
      <c r="B7" s="2" t="inlineStr">
        <is>
          <t>语义理解</t>
        </is>
      </c>
      <c r="C7" s="2" t="inlineStr">
        <is>
          <t>老人子女因钱纠纷</t>
        </is>
      </c>
      <c r="D7" s="2" t="n">
        <v>3</v>
      </c>
      <c r="E7" s="2" t="n">
        <v>5</v>
      </c>
      <c r="F7" s="2" t="n">
        <v>2</v>
      </c>
      <c r="G7" s="2" t="inlineStr">
        <is>
          <t>Baseline找偏(养老院)，结构化找到赡养纠纷</t>
        </is>
      </c>
    </row>
    <row r="8">
      <c r="A8" s="2" t="inlineStr">
        <is>
          <t>Q10</t>
        </is>
      </c>
      <c r="B8" s="2" t="inlineStr">
        <is>
          <t>语义理解</t>
        </is>
      </c>
      <c r="C8" s="2" t="inlineStr">
        <is>
          <t>公司不买保险出事不认</t>
        </is>
      </c>
      <c r="D8" s="2" t="n">
        <v>4</v>
      </c>
      <c r="E8" s="2" t="n">
        <v>5</v>
      </c>
      <c r="F8" s="2" t="n">
        <v>1</v>
      </c>
      <c r="G8" s="2" t="inlineStr">
        <is>
          <t>结构化案例更精准</t>
        </is>
      </c>
    </row>
    <row r="9">
      <c r="A9" s="2" t="inlineStr">
        <is>
          <t>Q11</t>
        </is>
      </c>
      <c r="B9" s="2" t="inlineStr">
        <is>
          <t>语义理解</t>
        </is>
      </c>
      <c r="C9" s="2" t="inlineStr">
        <is>
          <t>弱势群体维权成功</t>
        </is>
      </c>
      <c r="D9" s="2" t="n">
        <v>5</v>
      </c>
      <c r="E9" s="2" t="n">
        <v>4</v>
      </c>
      <c r="F9" s="2" t="n">
        <v>-1</v>
      </c>
      <c r="G9" s="2" t="inlineStr">
        <is>
          <t>Baseline更丰富</t>
        </is>
      </c>
    </row>
    <row r="10">
      <c r="A10" s="2" t="inlineStr">
        <is>
          <t>Q12</t>
        </is>
      </c>
      <c r="B10" s="2" t="inlineStr">
        <is>
          <t>语义理解</t>
        </is>
      </c>
      <c r="C10" s="2" t="inlineStr">
        <is>
          <t>租房押金不退</t>
        </is>
      </c>
      <c r="D10" s="2" t="n">
        <v>3</v>
      </c>
      <c r="E10" s="2" t="n">
        <v>4</v>
      </c>
      <c r="F10" s="2" t="n">
        <v>1</v>
      </c>
      <c r="G10" s="2" t="inlineStr">
        <is>
          <t>Baseline找偏(养老院押金)</t>
        </is>
      </c>
    </row>
    <row r="11">
      <c r="A11" s="2" t="inlineStr">
        <is>
          <t>Q13</t>
        </is>
      </c>
      <c r="B11" s="2" t="inlineStr">
        <is>
          <t>语义理解</t>
        </is>
      </c>
      <c r="C11" s="2" t="inlineStr">
        <is>
          <t>假冒伪劣不赔偿</t>
        </is>
      </c>
      <c r="D11" s="2" t="n">
        <v>1</v>
      </c>
      <c r="E11" s="2" t="n">
        <v>4</v>
      </c>
      <c r="F11" s="2" t="n">
        <v>3</v>
      </c>
      <c r="G11" s="2" t="inlineStr">
        <is>
          <t>差距最大，Baseline完全失败</t>
        </is>
      </c>
    </row>
    <row r="12" ht="24" customHeight="1">
      <c r="A12" s="2" t="inlineStr">
        <is>
          <t>Q17</t>
        </is>
      </c>
      <c r="B12" s="2" t="inlineStr">
        <is>
          <t>典型性判断</t>
        </is>
      </c>
      <c r="C12" s="2" t="inlineStr">
        <is>
          <t>工伤赔偿典型性</t>
        </is>
      </c>
      <c r="D12" s="2" t="n">
        <v>4</v>
      </c>
      <c r="E12" s="2" t="n">
        <v>5</v>
      </c>
      <c r="F12" s="2" t="n">
        <v>1</v>
      </c>
      <c r="G12" s="2" t="inlineStr">
        <is>
          <t>结构化引用更精准</t>
        </is>
      </c>
    </row>
    <row r="13" ht="24" customHeight="1">
      <c r="A13" s="2" t="inlineStr">
        <is>
          <t>Q18</t>
        </is>
      </c>
      <c r="B13" s="2" t="inlineStr">
        <is>
          <t>典型性判断</t>
        </is>
      </c>
      <c r="C13" s="2" t="inlineStr">
        <is>
          <t>银行理财误导典型性</t>
        </is>
      </c>
      <c r="D13" s="2" t="n">
        <v>3</v>
      </c>
      <c r="E13" s="2" t="n">
        <v>4</v>
      </c>
      <c r="F13" s="2" t="n">
        <v>1</v>
      </c>
      <c r="G13" s="2" t="inlineStr">
        <is>
          <t>Baseline判断方向错误</t>
        </is>
      </c>
    </row>
    <row r="14" ht="24" customHeight="1">
      <c r="A14" s="2" t="inlineStr">
        <is>
          <t>Q19</t>
        </is>
      </c>
      <c r="B14" s="2" t="inlineStr">
        <is>
          <t>典型性判断</t>
        </is>
      </c>
      <c r="C14" s="2" t="inlineStr">
        <is>
          <t>外卖骑手工伤典型性</t>
        </is>
      </c>
      <c r="D14" s="2" t="n">
        <v>5</v>
      </c>
      <c r="E14" s="2" t="n">
        <v>5</v>
      </c>
      <c r="F14" s="2" t="n">
        <v>0</v>
      </c>
      <c r="G14" s="2" t="inlineStr">
        <is>
          <t>两个都找到昆山案例</t>
        </is>
      </c>
    </row>
    <row r="15" ht="24" customHeight="1">
      <c r="A15" s="2" t="inlineStr">
        <is>
          <t>Q20</t>
        </is>
      </c>
      <c r="B15" s="2" t="inlineStr">
        <is>
          <t>典型性判断</t>
        </is>
      </c>
      <c r="C15" s="2" t="inlineStr">
        <is>
          <t>房屋面积缩水典型性</t>
        </is>
      </c>
      <c r="D15" s="2" t="n">
        <v>4</v>
      </c>
      <c r="E15" s="2" t="n">
        <v>5</v>
      </c>
      <c r="F15" s="2" t="n">
        <v>1</v>
      </c>
      <c r="G15" s="2" t="inlineStr">
        <is>
          <t>结构化分析更全面</t>
        </is>
      </c>
    </row>
    <row r="16" ht="24" customHeight="1">
      <c r="A16" s="2" t="inlineStr">
        <is>
          <t>Q21</t>
        </is>
      </c>
      <c r="B16" s="2" t="inlineStr">
        <is>
          <t>典型性判断</t>
        </is>
      </c>
      <c r="C16" s="2" t="inlineStr">
        <is>
          <t>聋哑人超市扣押典型性</t>
        </is>
      </c>
      <c r="D16" s="2" t="n">
        <v>1</v>
      </c>
      <c r="E16" s="2" t="n">
        <v>1</v>
      </c>
      <c r="F16" s="2" t="n">
        <v>0</v>
      </c>
      <c r="G16" s="2" t="inlineStr">
        <is>
          <t>两个都正确拒答</t>
        </is>
      </c>
    </row>
    <row r="17">
      <c r="A17" s="2" t="inlineStr">
        <is>
          <t>Q25</t>
        </is>
      </c>
      <c r="B17" s="2" t="inlineStr">
        <is>
          <t>抗干扰</t>
        </is>
      </c>
      <c r="C17" s="2" t="inlineStr">
        <is>
          <t>加密货币诈骗</t>
        </is>
      </c>
      <c r="D17" s="2" t="n">
        <v>5</v>
      </c>
      <c r="E17" s="2" t="n">
        <v>5</v>
      </c>
      <c r="F17" s="2" t="n">
        <v>0</v>
      </c>
      <c r="G17" s="2" t="inlineStr">
        <is>
          <t>两个都正确拒绝</t>
        </is>
      </c>
    </row>
    <row r="18">
      <c r="A18" s="2" t="inlineStr">
        <is>
          <t>Q26</t>
        </is>
      </c>
      <c r="B18" s="2" t="inlineStr">
        <is>
          <t>抗干扰</t>
        </is>
      </c>
      <c r="C18" s="2" t="inlineStr">
        <is>
          <t>特斯拉质量纠纷</t>
        </is>
      </c>
      <c r="D18" s="2" t="n">
        <v>5</v>
      </c>
      <c r="E18" s="2" t="n">
        <v>5</v>
      </c>
      <c r="F18" s="2" t="n">
        <v>0</v>
      </c>
      <c r="G18" s="2" t="inlineStr">
        <is>
          <t>两个都正确拒绝</t>
        </is>
      </c>
    </row>
    <row r="19">
      <c r="A19" s="2" t="inlineStr">
        <is>
          <t>Q27</t>
        </is>
      </c>
      <c r="B19" s="2" t="inlineStr">
        <is>
          <t>抗干扰</t>
        </is>
      </c>
      <c r="C19" s="2" t="inlineStr">
        <is>
          <t>网络主播封号</t>
        </is>
      </c>
      <c r="D19" s="2" t="n">
        <v>5</v>
      </c>
      <c r="E19" s="2" t="n">
        <v>5</v>
      </c>
      <c r="F19" s="2" t="n">
        <v>0</v>
      </c>
      <c r="G19" s="2" t="inlineStr">
        <is>
          <t>两个都正确拒绝</t>
        </is>
      </c>
    </row>
    <row r="20">
      <c r="A20" s="2" t="inlineStr">
        <is>
          <t>Q28</t>
        </is>
      </c>
      <c r="B20" s="2" t="inlineStr">
        <is>
          <t>抗干扰</t>
        </is>
      </c>
      <c r="C20" s="2" t="inlineStr">
        <is>
          <t>跨国婚姻纠纷</t>
        </is>
      </c>
      <c r="D20" s="2" t="n">
        <v>5</v>
      </c>
      <c r="E20" s="2" t="n">
        <v>5</v>
      </c>
      <c r="F20" s="2" t="n">
        <v>0</v>
      </c>
      <c r="G20" s="2" t="inlineStr">
        <is>
          <t>两个都正确</t>
        </is>
      </c>
    </row>
    <row r="21">
      <c r="A21" s="2" t="inlineStr">
        <is>
          <t>Q29</t>
        </is>
      </c>
      <c r="B21" s="2" t="inlineStr">
        <is>
          <t>抗干扰</t>
        </is>
      </c>
      <c r="C21" s="2" t="inlineStr">
        <is>
          <t>AI侵权案例</t>
        </is>
      </c>
      <c r="D21" s="2" t="n">
        <v>4</v>
      </c>
      <c r="E21" s="2" t="n">
        <v>5</v>
      </c>
      <c r="F21" s="2" t="n">
        <v>1</v>
      </c>
      <c r="G21" s="2" t="inlineStr">
        <is>
          <t>结构化直接拒绝更好</t>
        </is>
      </c>
    </row>
    <row r="23">
      <c r="A23" s="4" t="inlineStr">
        <is>
          <t>汇总</t>
        </is>
      </c>
      <c r="C23" s="5" t="inlineStr">
        <is>
          <t>直接匹配(5题)</t>
        </is>
      </c>
      <c r="D23" s="5" t="inlineStr">
        <is>
          <t>21/25</t>
        </is>
      </c>
      <c r="E23" s="5" t="inlineStr">
        <is>
          <t>24/25</t>
        </is>
      </c>
      <c r="F23" s="5" t="n">
        <v>3</v>
      </c>
    </row>
    <row r="24">
      <c r="C24" s="5" t="inlineStr">
        <is>
          <t>语义理解(5题)</t>
        </is>
      </c>
      <c r="D24" s="5" t="inlineStr">
        <is>
          <t>16/25</t>
        </is>
      </c>
      <c r="E24" s="5" t="inlineStr">
        <is>
          <t>22/25</t>
        </is>
      </c>
      <c r="F24" s="5" t="n">
        <v>6</v>
      </c>
    </row>
    <row r="25">
      <c r="C25" s="5" t="inlineStr">
        <is>
          <t>典型性判断(5题)</t>
        </is>
      </c>
      <c r="D25" s="5" t="inlineStr">
        <is>
          <t>17/25</t>
        </is>
      </c>
      <c r="E25" s="5" t="inlineStr">
        <is>
          <t>20/25</t>
        </is>
      </c>
      <c r="F25" s="5" t="n">
        <v>3</v>
      </c>
    </row>
    <row r="26">
      <c r="C26" s="5" t="inlineStr">
        <is>
          <t>抗干扰(5题)</t>
        </is>
      </c>
      <c r="D26" s="5" t="inlineStr">
        <is>
          <t>24/25</t>
        </is>
      </c>
      <c r="E26" s="5" t="inlineStr">
        <is>
          <t>25/25</t>
        </is>
      </c>
      <c r="F26" s="5" t="n">
        <v>1</v>
      </c>
    </row>
    <row r="27">
      <c r="C27" s="4" t="inlineStr">
        <is>
          <t>总分</t>
        </is>
      </c>
      <c r="D27" s="4" t="inlineStr">
        <is>
          <t>78/100</t>
        </is>
      </c>
      <c r="E27" s="4" t="inlineStr">
        <is>
          <t>91/100</t>
        </is>
      </c>
      <c r="F27" s="6" t="n">
        <v>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ColWidth="9" defaultRowHeight="14.4" outlineLevelRow="5"/>
  <cols>
    <col width="30" customWidth="1" min="1" max="5"/>
  </cols>
  <sheetData>
    <row r="1">
      <c r="A1" s="1" t="inlineStr">
        <is>
          <t>改进点</t>
        </is>
      </c>
      <c r="B1" s="1" t="inlineStr">
        <is>
          <t>技术实现</t>
        </is>
      </c>
      <c r="C1" s="1" t="inlineStr">
        <is>
          <t>对应评估维度</t>
        </is>
      </c>
      <c r="D1" s="1" t="inlineStr">
        <is>
          <t>预期主要提升维度</t>
        </is>
      </c>
      <c r="E1" s="1" t="inlineStr">
        <is>
          <t>面试话术</t>
        </is>
      </c>
    </row>
    <row r="2" ht="80" customHeight="1">
      <c r="A2" s="2" t="inlineStr">
        <is>
          <t>结构化切块</t>
        </is>
      </c>
      <c r="B2" s="2" t="inlineStr">
        <is>
          <t>以法律文书段落为切块单元替代750字硬切</t>
        </is>
      </c>
      <c r="C2" s="2" t="inlineStr">
        <is>
          <t>语义理解、典型性判断</t>
        </is>
      </c>
      <c r="D2" s="2" t="inlineStr">
        <is>
          <t>语义理解(+6分/25)</t>
        </is>
      </c>
      <c r="E2" s="2" t="inlineStr">
        <is>
          <t>结构化切块保证每个chunk语义纯粹，向量检索相似度计算更准确，对模糊问题的召回能力明显增强</t>
        </is>
      </c>
    </row>
    <row r="3" ht="80" customHeight="1">
      <c r="A3" s="2" t="inlineStr">
        <is>
          <t>混合检索(BM25+FAISS)</t>
        </is>
      </c>
      <c r="B3" s="2" t="inlineStr">
        <is>
          <t>修改faiss_kb_service.py，加入BM25+RRF融合</t>
        </is>
      </c>
      <c r="C3" s="2" t="inlineStr">
        <is>
          <t>精确检索</t>
        </is>
      </c>
      <c r="D3" s="2" t="inlineStr">
        <is>
          <t>精确检索(法条Hit@5 +31pp)</t>
        </is>
      </c>
      <c r="E3" s="2" t="inlineStr">
        <is>
          <t>法律文书有大量精确概念如法条编号，向量检索分不清'第十四条'和'第十五条'，BM25能精确匹配</t>
        </is>
      </c>
    </row>
    <row r="4" ht="80" customHeight="1">
      <c r="A4" s="2" t="inlineStr">
        <is>
          <t>Reranker精排</t>
        </is>
      </c>
      <c r="B4" s="2" t="inlineStr">
        <is>
          <t>在case_retrieval中加入LLM打分精排</t>
        </is>
      </c>
      <c r="C4" s="2" t="inlineStr">
        <is>
          <t>精确检索、语义理解</t>
        </is>
      </c>
      <c r="D4" s="2" t="inlineStr">
        <is>
          <t>精确检索(排序质量提升)</t>
        </is>
      </c>
      <c r="E4" s="2" t="inlineStr">
        <is>
          <t>粗召回后用Cross-Encoder做逐对打分，query和document联合编码做深度语义交互，排序更精准</t>
        </is>
      </c>
    </row>
    <row r="5" ht="80" customHeight="1">
      <c r="A5" s="2" t="inlineStr">
        <is>
          <t>Agent多步推理</t>
        </is>
      </c>
      <c r="B5" s="2" t="inlineStr">
        <is>
          <t>LangGraph ReAct + 4个自定义Tool</t>
        </is>
      </c>
      <c r="C5" s="2" t="inlineStr">
        <is>
          <t>多步推理</t>
        </is>
      </c>
      <c r="D5" s="2" t="inlineStr">
        <is>
          <t>多步推理(从~0%到~80%完成率)</t>
        </is>
      </c>
      <c r="E5" s="2" t="inlineStr">
        <is>
          <t>纯RAG是单轮检索+生成，Agent能自主拆解复杂任务为多步工具调用，实现跨案例对比等纯RAG做不到的能力</t>
        </is>
      </c>
    </row>
    <row r="6" ht="80" customHeight="1">
      <c r="A6" s="2" t="inlineStr">
        <is>
          <t>结构化Prompt</t>
        </is>
      </c>
      <c r="B6" s="2" t="inlineStr">
        <is>
          <t>面向典型性判断的约束性Prompt</t>
        </is>
      </c>
      <c r="C6" s="2" t="inlineStr">
        <is>
          <t>典型性判断、抗干扰</t>
        </is>
      </c>
      <c r="D6" s="2" t="inlineStr">
        <is>
          <t>抗干扰(拒答准确率提升)</t>
        </is>
      </c>
      <c r="E6" s="2" t="inlineStr">
        <is>
          <t>Prompt约束模型必须基于检索结果回答，无法检索到就如实拒答，避免编造案例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2026-04-26T07:45:00Z</dcterms:created>
  <dcterms:modified xmlns:dcterms="http://purl.org/dc/terms/" xmlns:xsi="http://www.w3.org/2001/XMLSchema-instance" xsi:type="dcterms:W3CDTF">2026-04-27T13:12:05Z</dcterms:modified>
  <cp:lastModifiedBy>远行/@Traced~</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D96E6015C1A04CCA9A80E99A7E718C92_13</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0</vt:i4>
  </property>
</Properties>
</file>